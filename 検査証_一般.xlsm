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filterPrivacy="1" codeName="ThisWorkbook" defaultThemeVersion="124226"/>
  <bookViews>
    <workbookView xWindow="-120" yWindow="-120" windowWidth="29040" windowHeight="15525" tabRatio="874" activeTab="1"/>
  </bookViews>
  <sheets>
    <sheet name="set" sheetId="85" r:id="rId1"/>
    <sheet name="入力" sheetId="66" r:id="rId2"/>
    <sheet name="print" sheetId="6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8" i="66" l="1"/>
  <c r="D31" i="63"/>
  <c r="Y31" i="63"/>
  <c r="Y14" i="63"/>
  <c r="D14" i="63"/>
  <c r="U7" i="66" l="1"/>
  <c r="AB5" i="63" s="1"/>
  <c r="G22" i="63"/>
  <c r="U9" i="66"/>
  <c r="AB22" i="63" s="1"/>
  <c r="U10" i="66"/>
  <c r="U11" i="66"/>
  <c r="U12" i="66"/>
  <c r="U13" i="66"/>
  <c r="U14" i="66"/>
  <c r="U15" i="66"/>
  <c r="U16" i="66"/>
  <c r="U17" i="66"/>
  <c r="U18" i="66"/>
  <c r="U19" i="66"/>
  <c r="U20" i="66"/>
  <c r="U21" i="66"/>
  <c r="U22" i="66"/>
  <c r="U23" i="66"/>
  <c r="U24" i="66"/>
  <c r="U25" i="66"/>
  <c r="U26" i="66"/>
  <c r="U27" i="66"/>
  <c r="U28" i="66"/>
  <c r="U29" i="66"/>
  <c r="U30" i="66"/>
  <c r="U31" i="66"/>
  <c r="U32" i="66"/>
  <c r="U33" i="66"/>
  <c r="U34" i="66"/>
  <c r="U35" i="66"/>
  <c r="U36" i="66"/>
  <c r="U37" i="66"/>
  <c r="U38" i="66"/>
  <c r="U39" i="66"/>
  <c r="U40" i="66"/>
  <c r="U41" i="66"/>
  <c r="U42" i="66"/>
  <c r="U43" i="66"/>
  <c r="U44" i="66"/>
  <c r="U45" i="66"/>
  <c r="U46" i="66"/>
  <c r="U47" i="66"/>
  <c r="U48" i="66"/>
  <c r="U49" i="66"/>
  <c r="U50" i="66"/>
  <c r="U51" i="66"/>
  <c r="U52" i="66"/>
  <c r="U53" i="66"/>
  <c r="U54" i="66"/>
  <c r="U55" i="66"/>
  <c r="U56" i="66"/>
  <c r="U57" i="66"/>
  <c r="U58" i="66"/>
  <c r="U59" i="66"/>
  <c r="U60" i="66"/>
  <c r="U61" i="66"/>
  <c r="U62" i="66"/>
  <c r="U63" i="66"/>
  <c r="U64" i="66"/>
  <c r="U65" i="66"/>
  <c r="U66" i="66"/>
  <c r="U67" i="66"/>
  <c r="U68" i="66"/>
  <c r="U69" i="66"/>
  <c r="U6" i="66"/>
  <c r="G5" i="63" s="1"/>
  <c r="V7" i="66" l="1"/>
  <c r="AB6" i="63" s="1"/>
  <c r="V8" i="66"/>
  <c r="G23" i="63" s="1"/>
  <c r="V9" i="66"/>
  <c r="AB23" i="63" s="1"/>
  <c r="V10" i="66"/>
  <c r="V11" i="66"/>
  <c r="V12" i="66"/>
  <c r="V13" i="66"/>
  <c r="V14" i="66"/>
  <c r="V15" i="66"/>
  <c r="V16" i="66"/>
  <c r="V17" i="66"/>
  <c r="V18" i="66"/>
  <c r="V19" i="66"/>
  <c r="V20" i="66"/>
  <c r="V21" i="66"/>
  <c r="V22" i="66"/>
  <c r="V23" i="66"/>
  <c r="V24" i="66"/>
  <c r="V25" i="66"/>
  <c r="V26" i="66"/>
  <c r="V27" i="66"/>
  <c r="V28" i="66"/>
  <c r="V29" i="66"/>
  <c r="V30" i="66"/>
  <c r="V31" i="66"/>
  <c r="V32" i="66"/>
  <c r="V33" i="66"/>
  <c r="V34" i="66"/>
  <c r="V35" i="66"/>
  <c r="V36" i="66"/>
  <c r="V37" i="66"/>
  <c r="V38" i="66"/>
  <c r="V39" i="66"/>
  <c r="V40" i="66"/>
  <c r="V41" i="66"/>
  <c r="V42" i="66"/>
  <c r="V43" i="66"/>
  <c r="V44" i="66"/>
  <c r="V45" i="66"/>
  <c r="V46" i="66"/>
  <c r="V47" i="66"/>
  <c r="V48" i="66"/>
  <c r="V49" i="66"/>
  <c r="V50" i="66"/>
  <c r="V51" i="66"/>
  <c r="V52" i="66"/>
  <c r="V53" i="66"/>
  <c r="V54" i="66"/>
  <c r="V55" i="66"/>
  <c r="V56" i="66"/>
  <c r="V57" i="66"/>
  <c r="V58" i="66"/>
  <c r="V59" i="66"/>
  <c r="V60" i="66"/>
  <c r="V61" i="66"/>
  <c r="V62" i="66"/>
  <c r="V63" i="66"/>
  <c r="V64" i="66"/>
  <c r="V65" i="66"/>
  <c r="V66" i="66"/>
  <c r="V67" i="66"/>
  <c r="V68" i="66"/>
  <c r="V69" i="66"/>
  <c r="V6" i="66"/>
  <c r="G6" i="63" s="1"/>
  <c r="G7" i="63"/>
  <c r="AJ24" i="63" l="1"/>
  <c r="AL24" i="63" s="1"/>
  <c r="AF24" i="63"/>
  <c r="AH24" i="63" s="1"/>
  <c r="AB24" i="63"/>
  <c r="O24" i="63"/>
  <c r="Q25" i="63" s="1"/>
  <c r="K24" i="63"/>
  <c r="M25" i="63" s="1"/>
  <c r="G24" i="63"/>
  <c r="I25" i="63" s="1"/>
  <c r="AJ7" i="63"/>
  <c r="AL7" i="63" s="1"/>
  <c r="AF7" i="63"/>
  <c r="AH8" i="63" s="1"/>
  <c r="AB7" i="63"/>
  <c r="AD7" i="63" s="1"/>
  <c r="I8" i="63"/>
  <c r="I7" i="63"/>
  <c r="AD24" i="63" l="1"/>
  <c r="AD25" i="63"/>
  <c r="Q24" i="63"/>
  <c r="N24" i="63"/>
  <c r="AH7" i="63"/>
  <c r="AL8" i="63"/>
  <c r="AH25" i="63"/>
  <c r="AD8" i="63"/>
  <c r="M24" i="63"/>
  <c r="I24" i="63"/>
  <c r="AL25" i="63"/>
  <c r="AI24" i="63"/>
  <c r="AI7" i="63"/>
  <c r="Y30" i="63"/>
  <c r="Y29" i="63"/>
  <c r="AF27" i="63"/>
  <c r="D30" i="63"/>
  <c r="D29" i="63"/>
  <c r="K27" i="63"/>
  <c r="Y13" i="63"/>
  <c r="Y12" i="63"/>
  <c r="AF10" i="63"/>
  <c r="D13" i="63"/>
  <c r="D12" i="63"/>
  <c r="K10" i="63"/>
  <c r="O7" i="63"/>
  <c r="K7" i="63"/>
  <c r="M8" i="63" s="1"/>
  <c r="AG27" i="63"/>
  <c r="L27" i="63"/>
  <c r="AG10" i="63"/>
  <c r="M7" i="63" l="1"/>
  <c r="Q8" i="63"/>
  <c r="Q7" i="63"/>
  <c r="N7" i="63"/>
  <c r="L10" i="63"/>
  <c r="C6" i="66" l="1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C55" i="66" s="1"/>
  <c r="C56" i="66" s="1"/>
  <c r="C57" i="66" s="1"/>
  <c r="C58" i="66" s="1"/>
  <c r="C59" i="66" s="1"/>
  <c r="C60" i="66" s="1"/>
  <c r="C61" i="66" s="1"/>
  <c r="C62" i="66" s="1"/>
  <c r="C63" i="66" s="1"/>
  <c r="C64" i="66" s="1"/>
  <c r="C65" i="66" s="1"/>
  <c r="C66" i="66" s="1"/>
  <c r="C67" i="66" s="1"/>
  <c r="C68" i="66" s="1"/>
  <c r="C69" i="66" s="1"/>
</calcChain>
</file>

<file path=xl/sharedStrings.xml><?xml version="1.0" encoding="utf-8"?>
<sst xmlns="http://schemas.openxmlformats.org/spreadsheetml/2006/main" count="86" uniqueCount="49">
  <si>
    <t xml:space="preserve"> 検　　査　　証 </t>
    <rPh sb="1" eb="2">
      <t>ケン</t>
    </rPh>
    <rPh sb="4" eb="5">
      <t>サ</t>
    </rPh>
    <rPh sb="7" eb="8">
      <t>ショウ</t>
    </rPh>
    <phoneticPr fontId="1"/>
  </si>
  <si>
    <t>客先名</t>
    <rPh sb="0" eb="2">
      <t>キャクサキ</t>
    </rPh>
    <rPh sb="2" eb="3">
      <t>メイ</t>
    </rPh>
    <phoneticPr fontId="1"/>
  </si>
  <si>
    <t>品　名</t>
    <rPh sb="0" eb="1">
      <t>シナ</t>
    </rPh>
    <rPh sb="2" eb="3">
      <t>メイ</t>
    </rPh>
    <phoneticPr fontId="1"/>
  </si>
  <si>
    <t>寸　法</t>
    <rPh sb="0" eb="1">
      <t>スン</t>
    </rPh>
    <rPh sb="2" eb="3">
      <t>ホウ</t>
    </rPh>
    <phoneticPr fontId="1"/>
  </si>
  <si>
    <t>数　量</t>
    <rPh sb="0" eb="1">
      <t>カズ</t>
    </rPh>
    <rPh sb="2" eb="3">
      <t>リョウ</t>
    </rPh>
    <phoneticPr fontId="1"/>
  </si>
  <si>
    <t xml:space="preserve"> 備　考</t>
    <rPh sb="1" eb="2">
      <t>ソナエ</t>
    </rPh>
    <rPh sb="3" eb="4">
      <t>コウ</t>
    </rPh>
    <phoneticPr fontId="1"/>
  </si>
  <si>
    <t>検査者印</t>
    <rPh sb="0" eb="2">
      <t>ケンサ</t>
    </rPh>
    <rPh sb="2" eb="3">
      <t>シャ</t>
    </rPh>
    <rPh sb="3" eb="4">
      <t>イン</t>
    </rPh>
    <phoneticPr fontId="1"/>
  </si>
  <si>
    <t>×</t>
    <phoneticPr fontId="1"/>
  </si>
  <si>
    <t>受注納期</t>
    <rPh sb="0" eb="2">
      <t>ジュチュウ</t>
    </rPh>
    <rPh sb="2" eb="4">
      <t>ノウキ</t>
    </rPh>
    <phoneticPr fontId="1"/>
  </si>
  <si>
    <t>出荷予定日</t>
    <rPh sb="0" eb="5">
      <t>シュッカヨテイビ</t>
    </rPh>
    <phoneticPr fontId="1"/>
  </si>
  <si>
    <t>ユーザー</t>
    <phoneticPr fontId="1"/>
  </si>
  <si>
    <t>材質</t>
    <rPh sb="0" eb="2">
      <t>ザイシツ</t>
    </rPh>
    <phoneticPr fontId="1"/>
  </si>
  <si>
    <t>E</t>
    <phoneticPr fontId="1"/>
  </si>
  <si>
    <t>C</t>
    <phoneticPr fontId="1"/>
  </si>
  <si>
    <r>
      <rPr>
        <sz val="11"/>
        <rFont val="ＭＳ Ｐゴシック"/>
        <family val="3"/>
        <charset val="128"/>
      </rPr>
      <t>数量</t>
    </r>
    <rPh sb="0" eb="2">
      <t>スウリョウ</t>
    </rPh>
    <phoneticPr fontId="10"/>
  </si>
  <si>
    <t>(範囲開始日)</t>
    <rPh sb="1" eb="3">
      <t>ハンイ</t>
    </rPh>
    <rPh sb="3" eb="6">
      <t>カイシビ</t>
    </rPh>
    <phoneticPr fontId="1"/>
  </si>
  <si>
    <t>(単独日)(範囲終了日)</t>
    <rPh sb="6" eb="8">
      <t>ハンイ</t>
    </rPh>
    <rPh sb="8" eb="10">
      <t>シュウリョウ</t>
    </rPh>
    <rPh sb="10" eb="11">
      <t>ビ</t>
    </rPh>
    <phoneticPr fontId="1"/>
  </si>
  <si>
    <t>単位</t>
    <rPh sb="0" eb="2">
      <t>タンイ</t>
    </rPh>
    <phoneticPr fontId="1"/>
  </si>
  <si>
    <t>p</t>
    <phoneticPr fontId="1"/>
  </si>
  <si>
    <t>検査表記載名</t>
    <rPh sb="0" eb="3">
      <t>ケンサヒョウ</t>
    </rPh>
    <rPh sb="3" eb="6">
      <t>キサイメイ</t>
    </rPh>
    <phoneticPr fontId="1"/>
  </si>
  <si>
    <t>正式名称</t>
    <rPh sb="0" eb="4">
      <t>セイシキメイショウ</t>
    </rPh>
    <phoneticPr fontId="1"/>
  </si>
  <si>
    <t>簡易名</t>
    <rPh sb="0" eb="2">
      <t>カンイ</t>
    </rPh>
    <rPh sb="2" eb="3">
      <t>メイ</t>
    </rPh>
    <phoneticPr fontId="1"/>
  </si>
  <si>
    <t>コード</t>
    <phoneticPr fontId="1"/>
  </si>
  <si>
    <t>ユーザ</t>
    <phoneticPr fontId="1"/>
  </si>
  <si>
    <t>色No</t>
    <rPh sb="0" eb="1">
      <t>イロ</t>
    </rPh>
    <phoneticPr fontId="1"/>
  </si>
  <si>
    <t>aaa</t>
    <phoneticPr fontId="1"/>
  </si>
  <si>
    <t>bbb</t>
    <phoneticPr fontId="1"/>
  </si>
  <si>
    <t>ccc</t>
    <phoneticPr fontId="1"/>
  </si>
  <si>
    <t>ddd</t>
    <phoneticPr fontId="1"/>
  </si>
  <si>
    <t>（株）aaa</t>
    <phoneticPr fontId="1"/>
  </si>
  <si>
    <t>bbb（株）</t>
    <phoneticPr fontId="1"/>
  </si>
  <si>
    <t>国立研究開発法人 ddd</t>
    <phoneticPr fontId="1"/>
  </si>
  <si>
    <t>A</t>
    <phoneticPr fontId="1"/>
  </si>
  <si>
    <t>B</t>
    <phoneticPr fontId="1"/>
  </si>
  <si>
    <t>D</t>
    <phoneticPr fontId="1"/>
  </si>
  <si>
    <t>C****</t>
    <phoneticPr fontId="1"/>
  </si>
  <si>
    <t>D****</t>
    <phoneticPr fontId="1"/>
  </si>
  <si>
    <t>E****</t>
    <phoneticPr fontId="1"/>
  </si>
  <si>
    <t>A****</t>
    <phoneticPr fontId="1"/>
  </si>
  <si>
    <t>B****</t>
    <phoneticPr fontId="1"/>
  </si>
  <si>
    <t>範囲+</t>
    <rPh sb="0" eb="2">
      <t>ハンイ</t>
    </rPh>
    <phoneticPr fontId="10"/>
  </si>
  <si>
    <t>範囲-</t>
    <rPh sb="0" eb="2">
      <t>ハンイ</t>
    </rPh>
    <phoneticPr fontId="10"/>
  </si>
  <si>
    <t>径1</t>
    <rPh sb="0" eb="1">
      <t>ケイ</t>
    </rPh>
    <phoneticPr fontId="10"/>
  </si>
  <si>
    <t>径2</t>
    <rPh sb="0" eb="1">
      <t>ケイ</t>
    </rPh>
    <phoneticPr fontId="10"/>
  </si>
  <si>
    <t>備考</t>
    <rPh sb="0" eb="2">
      <t>ビコウ</t>
    </rPh>
    <phoneticPr fontId="1"/>
  </si>
  <si>
    <t>○○○○</t>
    <phoneticPr fontId="1"/>
  </si>
  <si>
    <t>納期</t>
    <rPh sb="0" eb="2">
      <t>ノウキ</t>
    </rPh>
    <phoneticPr fontId="1"/>
  </si>
  <si>
    <t>径3</t>
    <rPh sb="0" eb="1">
      <t>ケイ</t>
    </rPh>
    <phoneticPr fontId="1"/>
  </si>
  <si>
    <t>識別番号</t>
    <rPh sb="0" eb="2">
      <t>シキベツ</t>
    </rPh>
    <rPh sb="2" eb="4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</si>
</sst>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yy/m/d\(aaa\)"/>
    <numFmt numFmtId="177" formatCode="#,##0.0_ "/>
    <numFmt numFmtId="178" formatCode="0.0_ "/>
    <numFmt numFmtId="179" formatCode="0.0"/>
    <numFmt numFmtId="180" formatCode="\-0.0;\-0.0;&quot;-0.0&quot;"/>
  </numFmts>
  <fonts count="1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明朝"/>
      <family val="1"/>
      <charset val="128"/>
    </font>
    <font>
      <u/>
      <sz val="11"/>
      <name val="ＭＳ ゴシック"/>
      <family val="3"/>
      <charset val="128"/>
    </font>
    <font>
      <sz val="10"/>
      <color indexed="63"/>
      <name val="ＭＳ 明朝"/>
      <family val="1"/>
      <charset val="128"/>
    </font>
    <font>
      <b/>
      <sz val="10"/>
      <color indexed="63"/>
      <name val="ＭＳ 明朝"/>
      <family val="1"/>
      <charset val="128"/>
    </font>
    <font>
      <b/>
      <sz val="6"/>
      <color indexed="63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1"/>
      <name val="ＭＳ 明朝"/>
      <family val="1"/>
      <charset val="128"/>
    </font>
    <font>
      <sz val="10"/>
      <name val="ＭＳ Ｐゴシック"/>
      <family val="3"/>
      <charset val="128"/>
    </font>
    <font>
      <sz val="8"/>
      <color rgb="FFFF0000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メイリオ"/>
      <family val="3"/>
      <charset val="128"/>
    </font>
    <font>
      <sz val="8"/>
      <name val="メイリオ"/>
      <family val="3"/>
      <charset val="128"/>
    </font>
    <font>
      <sz val="10"/>
      <name val="メイリオ"/>
      <family val="3"/>
      <charset val="128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3F3F3F"/>
      <name val="メイリオ"/>
      <family val="3"/>
      <charset val="128"/>
    </font>
    <font>
      <sz val="9"/>
      <name val="メイリオ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double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6" borderId="40" applyNumberFormat="0" applyAlignment="0" applyProtection="0">
      <alignment vertical="center"/>
    </xf>
  </cellStyleXfs>
  <cellXfs count="178">
    <xf numFmtId="0" fontId="0" fillId="0" borderId="0" xfId="0"/>
    <xf numFmtId="0" fontId="2" fillId="0" borderId="0" xfId="0" applyFont="1" applyBorder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3" fillId="0" borderId="0" xfId="0" applyFont="1" applyBorder="1" applyAlignment="1">
      <alignment horizontal="center"/>
    </xf>
    <xf numFmtId="0" fontId="2" fillId="0" borderId="5" xfId="0" applyFont="1" applyBorder="1"/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2" fillId="0" borderId="6" xfId="0" applyFont="1" applyBorder="1"/>
    <xf numFmtId="0" fontId="5" fillId="0" borderId="7" xfId="0" applyFont="1" applyBorder="1" applyAlignment="1">
      <alignment vertical="center"/>
    </xf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4" fillId="0" borderId="9" xfId="0" applyFont="1" applyBorder="1"/>
    <xf numFmtId="0" fontId="4" fillId="0" borderId="10" xfId="0" applyFont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4" fillId="0" borderId="0" xfId="0" applyFont="1" applyBorder="1" applyAlignment="1">
      <alignment horizontal="center" vertical="center" shrinkToFit="1"/>
    </xf>
    <xf numFmtId="0" fontId="8" fillId="0" borderId="15" xfId="0" applyFont="1" applyBorder="1"/>
    <xf numFmtId="0" fontId="11" fillId="0" borderId="0" xfId="0" applyFont="1"/>
    <xf numFmtId="0" fontId="11" fillId="0" borderId="0" xfId="0" applyFont="1" applyFill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76" fontId="11" fillId="2" borderId="21" xfId="0" applyNumberFormat="1" applyFont="1" applyFill="1" applyBorder="1"/>
    <xf numFmtId="176" fontId="11" fillId="3" borderId="20" xfId="0" applyNumberFormat="1" applyFont="1" applyFill="1" applyBorder="1"/>
    <xf numFmtId="0" fontId="13" fillId="0" borderId="0" xfId="0" applyFont="1" applyAlignment="1">
      <alignment horizontal="right"/>
    </xf>
    <xf numFmtId="0" fontId="11" fillId="0" borderId="0" xfId="0" applyFont="1" applyAlignment="1"/>
    <xf numFmtId="0" fontId="11" fillId="0" borderId="0" xfId="0" applyFont="1" applyAlignment="1">
      <alignment vertical="center"/>
    </xf>
    <xf numFmtId="0" fontId="5" fillId="0" borderId="7" xfId="0" applyFont="1" applyBorder="1" applyAlignment="1">
      <alignment vertical="center"/>
    </xf>
    <xf numFmtId="0" fontId="11" fillId="0" borderId="0" xfId="0" applyFont="1" applyFill="1" applyBorder="1"/>
    <xf numFmtId="176" fontId="11" fillId="0" borderId="0" xfId="0" applyNumberFormat="1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 shrinkToFit="1"/>
    </xf>
    <xf numFmtId="0" fontId="11" fillId="0" borderId="28" xfId="0" applyFont="1" applyFill="1" applyBorder="1"/>
    <xf numFmtId="0" fontId="11" fillId="0" borderId="27" xfId="0" applyFont="1" applyFill="1" applyBorder="1"/>
    <xf numFmtId="0" fontId="11" fillId="0" borderId="0" xfId="0" quotePrefix="1" applyFont="1" applyFill="1" applyBorder="1" applyAlignment="1">
      <alignment horizontal="center" shrinkToFit="1"/>
    </xf>
    <xf numFmtId="176" fontId="11" fillId="4" borderId="23" xfId="0" applyNumberFormat="1" applyFont="1" applyFill="1" applyBorder="1" applyAlignment="1">
      <alignment horizontal="center" vertical="center"/>
    </xf>
    <xf numFmtId="0" fontId="11" fillId="4" borderId="22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 shrinkToFit="1"/>
    </xf>
    <xf numFmtId="176" fontId="11" fillId="4" borderId="25" xfId="0" applyNumberFormat="1" applyFont="1" applyFill="1" applyBorder="1" applyAlignment="1">
      <alignment horizontal="center" vertical="center"/>
    </xf>
    <xf numFmtId="0" fontId="11" fillId="4" borderId="29" xfId="0" applyFont="1" applyFill="1" applyBorder="1" applyAlignment="1">
      <alignment horizontal="center" vertical="center" shrinkToFit="1"/>
    </xf>
    <xf numFmtId="176" fontId="11" fillId="0" borderId="4" xfId="0" applyNumberFormat="1" applyFont="1" applyFill="1" applyBorder="1" applyAlignment="1">
      <alignment horizontal="center" shrinkToFit="1"/>
    </xf>
    <xf numFmtId="0" fontId="11" fillId="0" borderId="30" xfId="0" applyFont="1" applyFill="1" applyBorder="1" applyAlignment="1">
      <alignment horizontal="center" shrinkToFit="1"/>
    </xf>
    <xf numFmtId="0" fontId="11" fillId="0" borderId="32" xfId="0" applyFont="1" applyFill="1" applyBorder="1" applyAlignment="1">
      <alignment horizontal="center" shrinkToFit="1"/>
    </xf>
    <xf numFmtId="176" fontId="11" fillId="0" borderId="30" xfId="0" applyNumberFormat="1" applyFont="1" applyFill="1" applyBorder="1" applyAlignment="1">
      <alignment horizontal="center"/>
    </xf>
    <xf numFmtId="0" fontId="11" fillId="0" borderId="35" xfId="0" quotePrefix="1" applyFont="1" applyFill="1" applyBorder="1" applyAlignment="1">
      <alignment horizontal="right"/>
    </xf>
    <xf numFmtId="0" fontId="14" fillId="4" borderId="34" xfId="0" applyFont="1" applyFill="1" applyBorder="1" applyAlignment="1">
      <alignment horizontal="center" vertical="center" wrapText="1"/>
    </xf>
    <xf numFmtId="0" fontId="9" fillId="4" borderId="34" xfId="0" applyFont="1" applyFill="1" applyBorder="1" applyAlignment="1">
      <alignment horizontal="center" vertical="center" wrapText="1"/>
    </xf>
    <xf numFmtId="0" fontId="9" fillId="4" borderId="37" xfId="0" applyFont="1" applyFill="1" applyBorder="1" applyAlignment="1">
      <alignment horizontal="center" vertical="center" wrapText="1"/>
    </xf>
    <xf numFmtId="0" fontId="14" fillId="5" borderId="21" xfId="0" applyFont="1" applyFill="1" applyBorder="1" applyAlignment="1">
      <alignment horizontal="center"/>
    </xf>
    <xf numFmtId="0" fontId="14" fillId="5" borderId="39" xfId="0" applyFont="1" applyFill="1" applyBorder="1" applyAlignment="1">
      <alignment horizontal="center"/>
    </xf>
    <xf numFmtId="177" fontId="14" fillId="0" borderId="36" xfId="0" applyNumberFormat="1" applyFont="1" applyFill="1" applyBorder="1" applyAlignment="1">
      <alignment horizontal="right"/>
    </xf>
    <xf numFmtId="177" fontId="14" fillId="0" borderId="36" xfId="0" quotePrefix="1" applyNumberFormat="1" applyFont="1" applyFill="1" applyBorder="1" applyAlignment="1">
      <alignment horizontal="right"/>
    </xf>
    <xf numFmtId="177" fontId="14" fillId="0" borderId="38" xfId="0" quotePrefix="1" applyNumberFormat="1" applyFont="1" applyFill="1" applyBorder="1" applyAlignment="1">
      <alignment horizontal="right"/>
    </xf>
    <xf numFmtId="49" fontId="7" fillId="0" borderId="0" xfId="0" applyNumberFormat="1" applyFont="1" applyBorder="1"/>
    <xf numFmtId="176" fontId="11" fillId="0" borderId="0" xfId="0" applyNumberFormat="1" applyFont="1" applyFill="1" applyBorder="1" applyAlignment="1">
      <alignment horizontal="center" shrinkToFit="1"/>
    </xf>
    <xf numFmtId="0" fontId="11" fillId="0" borderId="0" xfId="0" applyFont="1" applyFill="1" applyBorder="1" applyAlignment="1">
      <alignment horizontal="center" shrinkToFit="1"/>
    </xf>
    <xf numFmtId="0" fontId="11" fillId="0" borderId="0" xfId="0" quotePrefix="1" applyFont="1" applyFill="1" applyBorder="1" applyAlignment="1">
      <alignment horizontal="right"/>
    </xf>
    <xf numFmtId="177" fontId="14" fillId="0" borderId="0" xfId="0" quotePrefix="1" applyNumberFormat="1" applyFont="1" applyFill="1" applyBorder="1" applyAlignment="1">
      <alignment horizontal="right"/>
    </xf>
    <xf numFmtId="177" fontId="14" fillId="0" borderId="0" xfId="0" applyNumberFormat="1" applyFont="1" applyFill="1" applyBorder="1" applyAlignment="1">
      <alignment horizontal="right"/>
    </xf>
    <xf numFmtId="176" fontId="11" fillId="0" borderId="41" xfId="0" applyNumberFormat="1" applyFont="1" applyFill="1" applyBorder="1" applyAlignment="1">
      <alignment horizontal="center"/>
    </xf>
    <xf numFmtId="176" fontId="11" fillId="0" borderId="42" xfId="0" applyNumberFormat="1" applyFont="1" applyFill="1" applyBorder="1" applyAlignment="1">
      <alignment horizontal="center" shrinkToFit="1"/>
    </xf>
    <xf numFmtId="0" fontId="11" fillId="0" borderId="41" xfId="0" applyFont="1" applyFill="1" applyBorder="1" applyAlignment="1">
      <alignment horizontal="center" shrinkToFit="1"/>
    </xf>
    <xf numFmtId="0" fontId="11" fillId="0" borderId="43" xfId="0" applyFont="1" applyFill="1" applyBorder="1" applyAlignment="1">
      <alignment horizontal="center" shrinkToFit="1"/>
    </xf>
    <xf numFmtId="0" fontId="11" fillId="0" borderId="44" xfId="0" quotePrefix="1" applyFont="1" applyFill="1" applyBorder="1" applyAlignment="1">
      <alignment horizontal="right"/>
    </xf>
    <xf numFmtId="177" fontId="14" fillId="0" borderId="45" xfId="0" quotePrefix="1" applyNumberFormat="1" applyFont="1" applyFill="1" applyBorder="1" applyAlignment="1">
      <alignment horizontal="right"/>
    </xf>
    <xf numFmtId="177" fontId="14" fillId="0" borderId="45" xfId="0" applyNumberFormat="1" applyFont="1" applyFill="1" applyBorder="1" applyAlignment="1">
      <alignment horizontal="right"/>
    </xf>
    <xf numFmtId="177" fontId="14" fillId="0" borderId="46" xfId="0" quotePrefix="1" applyNumberFormat="1" applyFont="1" applyFill="1" applyBorder="1" applyAlignment="1">
      <alignment horizontal="right"/>
    </xf>
    <xf numFmtId="0" fontId="11" fillId="0" borderId="39" xfId="0" applyFont="1" applyFill="1" applyBorder="1"/>
    <xf numFmtId="0" fontId="11" fillId="0" borderId="47" xfId="0" quotePrefix="1" applyFont="1" applyFill="1" applyBorder="1" applyAlignment="1">
      <alignment horizontal="center" shrinkToFit="1"/>
    </xf>
    <xf numFmtId="0" fontId="11" fillId="0" borderId="48" xfId="0" applyFont="1" applyFill="1" applyBorder="1" applyAlignment="1">
      <alignment horizontal="center" shrinkToFit="1"/>
    </xf>
    <xf numFmtId="0" fontId="11" fillId="0" borderId="0" xfId="0" applyFont="1" applyAlignment="1">
      <alignment shrinkToFit="1"/>
    </xf>
    <xf numFmtId="0" fontId="12" fillId="0" borderId="0" xfId="0" applyFont="1" applyAlignment="1">
      <alignment horizontal="center" shrinkToFit="1"/>
    </xf>
    <xf numFmtId="0" fontId="11" fillId="4" borderId="24" xfId="0" applyFont="1" applyFill="1" applyBorder="1" applyAlignment="1">
      <alignment horizontal="center" vertical="center" shrinkToFit="1"/>
    </xf>
    <xf numFmtId="0" fontId="11" fillId="4" borderId="31" xfId="0" applyFont="1" applyFill="1" applyBorder="1" applyAlignment="1">
      <alignment horizontal="center" vertical="center" shrinkToFit="1"/>
    </xf>
    <xf numFmtId="0" fontId="11" fillId="0" borderId="52" xfId="0" applyFont="1" applyBorder="1"/>
    <xf numFmtId="0" fontId="11" fillId="0" borderId="53" xfId="0" applyFont="1" applyBorder="1"/>
    <xf numFmtId="0" fontId="11" fillId="8" borderId="53" xfId="0" applyFont="1" applyFill="1" applyBorder="1" applyAlignment="1">
      <alignment horizontal="center"/>
    </xf>
    <xf numFmtId="0" fontId="11" fillId="8" borderId="43" xfId="0" applyFont="1" applyFill="1" applyBorder="1" applyAlignment="1">
      <alignment horizontal="center"/>
    </xf>
    <xf numFmtId="0" fontId="11" fillId="8" borderId="54" xfId="0" applyFont="1" applyFill="1" applyBorder="1" applyAlignment="1">
      <alignment horizontal="center"/>
    </xf>
    <xf numFmtId="0" fontId="11" fillId="0" borderId="55" xfId="0" applyFont="1" applyBorder="1" applyAlignment="1">
      <alignment horizontal="right"/>
    </xf>
    <xf numFmtId="0" fontId="11" fillId="0" borderId="27" xfId="0" applyFont="1" applyBorder="1" applyAlignment="1">
      <alignment horizontal="right"/>
    </xf>
    <xf numFmtId="0" fontId="11" fillId="0" borderId="54" xfId="0" applyFont="1" applyBorder="1" applyAlignment="1">
      <alignment horizontal="right"/>
    </xf>
    <xf numFmtId="0" fontId="11" fillId="0" borderId="43" xfId="0" applyFont="1" applyBorder="1" applyAlignment="1">
      <alignment horizontal="right"/>
    </xf>
    <xf numFmtId="0" fontId="16" fillId="7" borderId="58" xfId="1" applyFont="1" applyFill="1" applyBorder="1" applyAlignment="1">
      <alignment horizontal="center"/>
    </xf>
    <xf numFmtId="0" fontId="16" fillId="7" borderId="59" xfId="1" applyFont="1" applyFill="1" applyBorder="1" applyAlignment="1">
      <alignment horizontal="center"/>
    </xf>
    <xf numFmtId="0" fontId="16" fillId="6" borderId="56" xfId="1" applyFont="1" applyBorder="1" applyAlignment="1">
      <alignment horizontal="right"/>
    </xf>
    <xf numFmtId="0" fontId="16" fillId="6" borderId="57" xfId="1" applyFont="1" applyBorder="1" applyAlignment="1">
      <alignment horizontal="right"/>
    </xf>
    <xf numFmtId="0" fontId="11" fillId="0" borderId="0" xfId="0" applyFont="1" applyAlignment="1">
      <alignment horizontal="center" shrinkToFit="1"/>
    </xf>
    <xf numFmtId="0" fontId="11" fillId="0" borderId="0" xfId="0" applyFont="1" applyFill="1" applyAlignment="1">
      <alignment horizontal="center" shrinkToFit="1"/>
    </xf>
    <xf numFmtId="0" fontId="17" fillId="9" borderId="21" xfId="0" applyFont="1" applyFill="1" applyBorder="1" applyAlignment="1">
      <alignment horizontal="center" shrinkToFit="1"/>
    </xf>
    <xf numFmtId="0" fontId="17" fillId="9" borderId="39" xfId="0" applyFont="1" applyFill="1" applyBorder="1" applyAlignment="1">
      <alignment horizontal="center" shrinkToFit="1"/>
    </xf>
    <xf numFmtId="0" fontId="11" fillId="0" borderId="27" xfId="0" applyFont="1" applyFill="1" applyBorder="1" applyAlignment="1">
      <alignment horizontal="center"/>
    </xf>
    <xf numFmtId="0" fontId="11" fillId="0" borderId="35" xfId="0" applyFont="1" applyFill="1" applyBorder="1" applyAlignment="1">
      <alignment horizontal="right"/>
    </xf>
    <xf numFmtId="177" fontId="14" fillId="0" borderId="38" xfId="0" applyNumberFormat="1" applyFont="1" applyFill="1" applyBorder="1" applyAlignment="1">
      <alignment horizontal="right"/>
    </xf>
    <xf numFmtId="177" fontId="14" fillId="0" borderId="12" xfId="0" quotePrefix="1" applyNumberFormat="1" applyFont="1" applyFill="1" applyBorder="1" applyAlignment="1">
      <alignment horizontal="right"/>
    </xf>
    <xf numFmtId="177" fontId="14" fillId="0" borderId="12" xfId="0" applyNumberFormat="1" applyFont="1" applyFill="1" applyBorder="1" applyAlignment="1">
      <alignment horizontal="right"/>
    </xf>
    <xf numFmtId="177" fontId="14" fillId="0" borderId="61" xfId="0" quotePrefix="1" applyNumberFormat="1" applyFont="1" applyFill="1" applyBorder="1" applyAlignment="1">
      <alignment horizontal="right"/>
    </xf>
    <xf numFmtId="0" fontId="11" fillId="4" borderId="62" xfId="0" applyFont="1" applyFill="1" applyBorder="1" applyAlignment="1">
      <alignment horizontal="center" vertical="center" wrapText="1"/>
    </xf>
    <xf numFmtId="0" fontId="11" fillId="0" borderId="13" xfId="0" quotePrefix="1" applyFont="1" applyFill="1" applyBorder="1" applyAlignment="1">
      <alignment horizontal="right"/>
    </xf>
    <xf numFmtId="0" fontId="11" fillId="0" borderId="13" xfId="0" applyFont="1" applyFill="1" applyBorder="1" applyAlignment="1">
      <alignment horizontal="right"/>
    </xf>
    <xf numFmtId="0" fontId="11" fillId="0" borderId="63" xfId="0" quotePrefix="1" applyFont="1" applyFill="1" applyBorder="1" applyAlignment="1">
      <alignment horizontal="right"/>
    </xf>
    <xf numFmtId="0" fontId="9" fillId="4" borderId="65" xfId="0" applyFont="1" applyFill="1" applyBorder="1" applyAlignment="1">
      <alignment horizontal="center" vertical="center" wrapText="1"/>
    </xf>
    <xf numFmtId="0" fontId="11" fillId="0" borderId="66" xfId="0" quotePrefix="1" applyFont="1" applyFill="1" applyBorder="1" applyAlignment="1">
      <alignment horizontal="right"/>
    </xf>
    <xf numFmtId="177" fontId="14" fillId="0" borderId="67" xfId="0" quotePrefix="1" applyNumberFormat="1" applyFont="1" applyFill="1" applyBorder="1" applyAlignment="1">
      <alignment horizontal="right"/>
    </xf>
    <xf numFmtId="0" fontId="11" fillId="0" borderId="66" xfId="0" applyFont="1" applyFill="1" applyBorder="1" applyAlignment="1">
      <alignment horizontal="right"/>
    </xf>
    <xf numFmtId="177" fontId="14" fillId="0" borderId="67" xfId="0" applyNumberFormat="1" applyFont="1" applyFill="1" applyBorder="1" applyAlignment="1">
      <alignment horizontal="right"/>
    </xf>
    <xf numFmtId="0" fontId="11" fillId="0" borderId="68" xfId="0" quotePrefix="1" applyFont="1" applyFill="1" applyBorder="1" applyAlignment="1">
      <alignment horizontal="right"/>
    </xf>
    <xf numFmtId="177" fontId="14" fillId="0" borderId="69" xfId="0" quotePrefix="1" applyNumberFormat="1" applyFont="1" applyFill="1" applyBorder="1" applyAlignment="1">
      <alignment horizontal="right"/>
    </xf>
    <xf numFmtId="178" fontId="2" fillId="0" borderId="0" xfId="0" applyNumberFormat="1" applyFont="1" applyBorder="1"/>
    <xf numFmtId="178" fontId="2" fillId="0" borderId="2" xfId="0" applyNumberFormat="1" applyFont="1" applyBorder="1"/>
    <xf numFmtId="178" fontId="2" fillId="0" borderId="7" xfId="0" applyNumberFormat="1" applyFont="1" applyBorder="1"/>
    <xf numFmtId="178" fontId="5" fillId="0" borderId="15" xfId="0" applyNumberFormat="1" applyFont="1" applyBorder="1" applyAlignment="1">
      <alignment vertical="center"/>
    </xf>
    <xf numFmtId="178" fontId="2" fillId="0" borderId="10" xfId="0" applyNumberFormat="1" applyFont="1" applyBorder="1"/>
    <xf numFmtId="178" fontId="2" fillId="0" borderId="15" xfId="0" applyNumberFormat="1" applyFont="1" applyBorder="1"/>
    <xf numFmtId="178" fontId="4" fillId="0" borderId="0" xfId="0" applyNumberFormat="1" applyFont="1" applyBorder="1" applyAlignment="1">
      <alignment horizontal="center" vertical="center" shrinkToFit="1"/>
    </xf>
    <xf numFmtId="178" fontId="2" fillId="0" borderId="0" xfId="0" applyNumberFormat="1" applyFont="1"/>
    <xf numFmtId="178" fontId="2" fillId="0" borderId="18" xfId="0" applyNumberFormat="1" applyFont="1" applyBorder="1"/>
    <xf numFmtId="178" fontId="5" fillId="0" borderId="15" xfId="0" applyNumberFormat="1" applyFont="1" applyFill="1" applyBorder="1" applyAlignment="1">
      <alignment vertical="center"/>
    </xf>
    <xf numFmtId="178" fontId="2" fillId="0" borderId="15" xfId="0" applyNumberFormat="1" applyFont="1" applyFill="1" applyBorder="1"/>
    <xf numFmtId="177" fontId="14" fillId="0" borderId="12" xfId="0" quotePrefix="1" applyNumberFormat="1" applyFont="1" applyFill="1" applyBorder="1" applyAlignment="1">
      <alignment horizontal="right" vertical="center"/>
    </xf>
    <xf numFmtId="179" fontId="6" fillId="0" borderId="10" xfId="0" quotePrefix="1" applyNumberFormat="1" applyFont="1" applyBorder="1" applyAlignment="1">
      <alignment horizontal="right" vertical="center" shrinkToFit="1"/>
    </xf>
    <xf numFmtId="180" fontId="6" fillId="0" borderId="0" xfId="0" quotePrefix="1" applyNumberFormat="1" applyFont="1" applyBorder="1" applyAlignment="1">
      <alignment horizontal="right" vertical="center" shrinkToFit="1"/>
    </xf>
    <xf numFmtId="180" fontId="6" fillId="0" borderId="0" xfId="0" quotePrefix="1" applyNumberFormat="1" applyFont="1" applyBorder="1" applyAlignment="1">
      <alignment vertical="center" shrinkToFit="1"/>
    </xf>
    <xf numFmtId="179" fontId="6" fillId="0" borderId="10" xfId="0" quotePrefix="1" applyNumberFormat="1" applyFont="1" applyFill="1" applyBorder="1" applyAlignment="1">
      <alignment vertical="center" shrinkToFit="1"/>
    </xf>
    <xf numFmtId="179" fontId="6" fillId="0" borderId="10" xfId="0" quotePrefix="1" applyNumberFormat="1" applyFont="1" applyFill="1" applyBorder="1" applyAlignment="1">
      <alignment horizontal="right" vertical="center" shrinkToFit="1"/>
    </xf>
    <xf numFmtId="180" fontId="6" fillId="0" borderId="0" xfId="0" quotePrefix="1" applyNumberFormat="1" applyFont="1" applyFill="1" applyBorder="1" applyAlignment="1">
      <alignment vertical="center" shrinkToFit="1"/>
    </xf>
    <xf numFmtId="180" fontId="6" fillId="0" borderId="0" xfId="0" quotePrefix="1" applyNumberFormat="1" applyFont="1" applyFill="1" applyBorder="1" applyAlignment="1">
      <alignment horizontal="right" vertical="center" shrinkToFit="1"/>
    </xf>
    <xf numFmtId="0" fontId="11" fillId="0" borderId="0" xfId="0" applyFont="1" applyFill="1" applyAlignment="1">
      <alignment shrinkToFit="1"/>
    </xf>
    <xf numFmtId="0" fontId="11" fillId="0" borderId="0" xfId="0" applyFont="1" applyFill="1" applyBorder="1" applyAlignment="1">
      <alignment shrinkToFit="1"/>
    </xf>
    <xf numFmtId="0" fontId="11" fillId="0" borderId="0" xfId="0" applyFont="1" applyBorder="1" applyAlignment="1">
      <alignment shrinkToFit="1"/>
    </xf>
    <xf numFmtId="0" fontId="11" fillId="0" borderId="0" xfId="0" applyFont="1" applyAlignment="1">
      <alignment horizontal="right" shrinkToFit="1"/>
    </xf>
    <xf numFmtId="0" fontId="11" fillId="0" borderId="0" xfId="0" applyFont="1" applyFill="1" applyAlignment="1">
      <alignment horizontal="right" shrinkToFit="1"/>
    </xf>
    <xf numFmtId="0" fontId="11" fillId="0" borderId="52" xfId="0" applyFont="1" applyBorder="1" applyAlignment="1">
      <alignment horizontal="center"/>
    </xf>
    <xf numFmtId="0" fontId="11" fillId="0" borderId="55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9" fillId="4" borderId="60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 wrapText="1"/>
    </xf>
    <xf numFmtId="0" fontId="0" fillId="4" borderId="64" xfId="0" applyFont="1" applyFill="1" applyBorder="1" applyAlignment="1">
      <alignment horizontal="center" vertical="center" wrapText="1"/>
    </xf>
    <xf numFmtId="0" fontId="11" fillId="8" borderId="49" xfId="0" applyFont="1" applyFill="1" applyBorder="1" applyAlignment="1">
      <alignment horizontal="center"/>
    </xf>
    <xf numFmtId="0" fontId="11" fillId="8" borderId="50" xfId="0" applyFont="1" applyFill="1" applyBorder="1" applyAlignment="1">
      <alignment horizontal="center"/>
    </xf>
    <xf numFmtId="0" fontId="11" fillId="8" borderId="51" xfId="0" applyFont="1" applyFill="1" applyBorder="1" applyAlignment="1">
      <alignment horizontal="center"/>
    </xf>
    <xf numFmtId="0" fontId="11" fillId="7" borderId="49" xfId="0" applyFont="1" applyFill="1" applyBorder="1" applyAlignment="1">
      <alignment horizontal="center"/>
    </xf>
    <xf numFmtId="0" fontId="11" fillId="7" borderId="51" xfId="0" applyFont="1" applyFill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0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5" fillId="0" borderId="10" xfId="0" applyFont="1" applyBorder="1" applyAlignment="1">
      <alignment horizontal="right" vertical="center" shrinkToFit="1"/>
    </xf>
    <xf numFmtId="0" fontId="5" fillId="0" borderId="0" xfId="0" applyFont="1" applyBorder="1" applyAlignment="1">
      <alignment horizontal="right" vertical="center" shrinkToFit="1"/>
    </xf>
    <xf numFmtId="0" fontId="5" fillId="0" borderId="15" xfId="0" applyFont="1" applyBorder="1" applyAlignment="1">
      <alignment horizontal="right" vertical="center" shrinkToFit="1"/>
    </xf>
    <xf numFmtId="0" fontId="5" fillId="0" borderId="10" xfId="0" applyFont="1" applyFill="1" applyBorder="1" applyAlignment="1">
      <alignment horizontal="right" vertical="center" shrinkToFit="1"/>
    </xf>
    <xf numFmtId="0" fontId="5" fillId="0" borderId="0" xfId="0" applyFont="1" applyFill="1" applyBorder="1" applyAlignment="1">
      <alignment horizontal="right" vertical="center" shrinkToFit="1"/>
    </xf>
    <xf numFmtId="0" fontId="5" fillId="0" borderId="15" xfId="0" applyFont="1" applyFill="1" applyBorder="1" applyAlignment="1">
      <alignment horizontal="right" vertical="center" shrinkToFit="1"/>
    </xf>
    <xf numFmtId="0" fontId="7" fillId="0" borderId="1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</cellXfs>
  <cellStyles count="2">
    <cellStyle name="出力" xfId="1" builtinId="21"/>
    <cellStyle name="標準" xfId="0" builtinId="0"/>
  </cellStyles>
  <dxfs count="4">
    <dxf>
      <numFmt numFmtId="179" formatCode="0.0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581025</xdr:colOff>
      <xdr:row>0</xdr:row>
      <xdr:rowOff>152400</xdr:rowOff>
    </xdr:from>
    <xdr:to>
      <xdr:col>18</xdr:col>
      <xdr:colOff>409575</xdr:colOff>
      <xdr:row>2</xdr:row>
      <xdr:rowOff>95250</xdr:rowOff>
    </xdr:to>
    <xdr:sp macro="[0]!SplitQuantity" textlink="">
      <xdr:nvSpPr>
        <xdr:cNvPr id="2" name="四角形: 対角を丸める 1">
          <a:extLst>
            <a:ext uri="{FF2B5EF4-FFF2-40B4-BE49-F238E27FC236}">
              <a16:creationId xmlns:a16="http://schemas.microsoft.com/office/drawing/2014/main" xmlns="" id="{54F1EDF5-56C0-4123-A366-2A2E6D39A6FD}"/>
            </a:ext>
          </a:extLst>
        </xdr:cNvPr>
        <xdr:cNvSpPr/>
      </xdr:nvSpPr>
      <xdr:spPr>
        <a:xfrm>
          <a:off x="10544175" y="152400"/>
          <a:ext cx="771525" cy="428625"/>
        </a:xfrm>
        <a:prstGeom prst="round2Diag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numCol="1" rtlCol="0" anchor="ctr"/>
        <a:lstStyle/>
        <a:p>
          <a:pPr algn="ctr"/>
          <a:r>
            <a:rPr kumimoji="1" lang="ja-JP" altLang="en-US" sz="1400" b="1">
              <a:latin typeface="メイリオ" panose="020B0604030504040204" pitchFamily="50" charset="-128"/>
              <a:ea typeface="メイリオ" panose="020B0604030504040204" pitchFamily="50" charset="-128"/>
            </a:rPr>
            <a:t>分割</a:t>
          </a:r>
          <a:endParaRPr kumimoji="1" lang="en-US" altLang="ja-JP" sz="1400" b="1"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20</xdr:col>
      <xdr:colOff>742950</xdr:colOff>
      <xdr:row>0</xdr:row>
      <xdr:rowOff>180975</xdr:rowOff>
    </xdr:from>
    <xdr:to>
      <xdr:col>21</xdr:col>
      <xdr:colOff>28575</xdr:colOff>
      <xdr:row>2</xdr:row>
      <xdr:rowOff>123825</xdr:rowOff>
    </xdr:to>
    <xdr:sp macro="[0]!PrintPreparedData" textlink="">
      <xdr:nvSpPr>
        <xdr:cNvPr id="3" name="四角形: 対角を丸める 2">
          <a:extLst>
            <a:ext uri="{FF2B5EF4-FFF2-40B4-BE49-F238E27FC236}">
              <a16:creationId xmlns:a16="http://schemas.microsoft.com/office/drawing/2014/main" xmlns="" id="{868BCF5A-7F28-43D7-90B7-B7A9BEBAE758}"/>
            </a:ext>
          </a:extLst>
        </xdr:cNvPr>
        <xdr:cNvSpPr/>
      </xdr:nvSpPr>
      <xdr:spPr>
        <a:xfrm>
          <a:off x="13687425" y="180975"/>
          <a:ext cx="771525" cy="428625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latin typeface="メイリオ" panose="020B0604030504040204" pitchFamily="50" charset="-128"/>
              <a:ea typeface="メイリオ" panose="020B0604030504040204" pitchFamily="50" charset="-128"/>
            </a:rPr>
            <a:t>印刷</a:t>
          </a:r>
        </a:p>
      </xdr:txBody>
    </xdr:sp>
    <xdr:clientData/>
  </xdr:twoCellAnchor>
  <xdr:twoCellAnchor>
    <xdr:from>
      <xdr:col>18</xdr:col>
      <xdr:colOff>542925</xdr:colOff>
      <xdr:row>0</xdr:row>
      <xdr:rowOff>152400</xdr:rowOff>
    </xdr:from>
    <xdr:to>
      <xdr:col>19</xdr:col>
      <xdr:colOff>123825</xdr:colOff>
      <xdr:row>2</xdr:row>
      <xdr:rowOff>95250</xdr:rowOff>
    </xdr:to>
    <xdr:sp macro="[0]!MergeQuantityByIdentifier" textlink="">
      <xdr:nvSpPr>
        <xdr:cNvPr id="4" name="四角形: 対角を丸める 3">
          <a:extLst>
            <a:ext uri="{FF2B5EF4-FFF2-40B4-BE49-F238E27FC236}">
              <a16:creationId xmlns:a16="http://schemas.microsoft.com/office/drawing/2014/main" xmlns="" id="{0EC4C8CE-3ECC-443B-972D-1232D6829028}"/>
            </a:ext>
          </a:extLst>
        </xdr:cNvPr>
        <xdr:cNvSpPr/>
      </xdr:nvSpPr>
      <xdr:spPr>
        <a:xfrm>
          <a:off x="11449050" y="152400"/>
          <a:ext cx="771525" cy="428625"/>
        </a:xfrm>
        <a:prstGeom prst="round2Diag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square" lIns="0" tIns="0" rIns="0" bIns="0" numCol="1" rtlCol="0" anchor="ctr"/>
        <a:lstStyle/>
        <a:p>
          <a:pPr algn="ctr"/>
          <a:r>
            <a:rPr kumimoji="1" lang="ja-JP" altLang="en-US" sz="1400" b="1">
              <a:latin typeface="メイリオ" panose="020B0604030504040204" pitchFamily="50" charset="-128"/>
              <a:ea typeface="メイリオ" panose="020B0604030504040204" pitchFamily="50" charset="-128"/>
            </a:rPr>
            <a:t>統合</a:t>
          </a:r>
          <a:endParaRPr kumimoji="1" lang="en-US" altLang="ja-JP" sz="1400" b="1"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T111"/>
  <sheetViews>
    <sheetView workbookViewId="0">
      <selection activeCell="F10" sqref="F10"/>
    </sheetView>
  </sheetViews>
  <sheetFormatPr defaultRowHeight="18.75"/>
  <cols>
    <col min="1" max="2" width="9" style="31"/>
    <col min="3" max="3" width="7.375" style="33" bestFit="1" customWidth="1"/>
    <col min="4" max="4" width="22.25" style="33" bestFit="1" customWidth="1"/>
    <col min="5" max="5" width="9" style="31"/>
    <col min="6" max="6" width="7.375" style="38" customWidth="1"/>
    <col min="7" max="7" width="8.625" style="38" bestFit="1" customWidth="1"/>
    <col min="8" max="8" width="17.125" style="38" bestFit="1" customWidth="1"/>
    <col min="9" max="16384" width="9" style="31"/>
  </cols>
  <sheetData>
    <row r="2" spans="3:20" ht="19.5" thickBot="1"/>
    <row r="3" spans="3:20">
      <c r="C3" s="153" t="s">
        <v>23</v>
      </c>
      <c r="D3" s="154"/>
      <c r="F3" s="150" t="s">
        <v>11</v>
      </c>
      <c r="G3" s="151"/>
      <c r="H3" s="152"/>
      <c r="J3" s="101" t="s">
        <v>24</v>
      </c>
    </row>
    <row r="4" spans="3:20" ht="19.5" thickBot="1">
      <c r="C4" s="95" t="s">
        <v>21</v>
      </c>
      <c r="D4" s="96" t="s">
        <v>20</v>
      </c>
      <c r="F4" s="88" t="s">
        <v>22</v>
      </c>
      <c r="G4" s="90" t="s">
        <v>21</v>
      </c>
      <c r="H4" s="89" t="s">
        <v>19</v>
      </c>
      <c r="J4" s="102">
        <v>36</v>
      </c>
    </row>
    <row r="5" spans="3:20">
      <c r="C5" s="97" t="s">
        <v>25</v>
      </c>
      <c r="D5" s="98" t="s">
        <v>29</v>
      </c>
      <c r="F5" s="144">
        <v>1</v>
      </c>
      <c r="G5" s="145" t="s">
        <v>32</v>
      </c>
      <c r="H5" s="146" t="s">
        <v>38</v>
      </c>
    </row>
    <row r="6" spans="3:20">
      <c r="C6" s="97" t="s">
        <v>26</v>
      </c>
      <c r="D6" s="98" t="s">
        <v>30</v>
      </c>
      <c r="F6" s="144">
        <v>2</v>
      </c>
      <c r="G6" s="145" t="s">
        <v>33</v>
      </c>
      <c r="H6" s="146" t="s">
        <v>39</v>
      </c>
    </row>
    <row r="7" spans="3:20">
      <c r="C7" s="97" t="s">
        <v>27</v>
      </c>
      <c r="D7" s="98" t="s">
        <v>27</v>
      </c>
      <c r="F7" s="144">
        <v>3</v>
      </c>
      <c r="G7" s="145" t="s">
        <v>13</v>
      </c>
      <c r="H7" s="146" t="s">
        <v>35</v>
      </c>
    </row>
    <row r="8" spans="3:20">
      <c r="C8" s="97" t="s">
        <v>28</v>
      </c>
      <c r="D8" s="98" t="s">
        <v>31</v>
      </c>
      <c r="F8" s="144">
        <v>4</v>
      </c>
      <c r="G8" s="145" t="s">
        <v>34</v>
      </c>
      <c r="H8" s="146" t="s">
        <v>36</v>
      </c>
    </row>
    <row r="9" spans="3:20">
      <c r="C9" s="97"/>
      <c r="D9" s="98"/>
      <c r="F9" s="144">
        <v>5</v>
      </c>
      <c r="G9" s="145" t="s">
        <v>12</v>
      </c>
      <c r="H9" s="146" t="s">
        <v>37</v>
      </c>
    </row>
    <row r="10" spans="3:20">
      <c r="C10" s="97"/>
      <c r="D10" s="98"/>
      <c r="F10" s="86"/>
      <c r="G10" s="91"/>
      <c r="H10" s="92"/>
    </row>
    <row r="11" spans="3:20">
      <c r="C11" s="97"/>
      <c r="D11" s="98"/>
      <c r="F11" s="86"/>
      <c r="G11" s="91"/>
      <c r="H11" s="92"/>
    </row>
    <row r="12" spans="3:20">
      <c r="C12" s="97"/>
      <c r="D12" s="98"/>
      <c r="F12" s="86"/>
      <c r="G12" s="91"/>
      <c r="H12" s="92"/>
    </row>
    <row r="13" spans="3:20">
      <c r="C13" s="97"/>
      <c r="D13" s="98"/>
      <c r="F13" s="86"/>
      <c r="G13" s="91"/>
      <c r="H13" s="92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3:20">
      <c r="C14" s="97"/>
      <c r="D14" s="98"/>
      <c r="F14" s="86"/>
      <c r="G14" s="91"/>
      <c r="H14" s="92"/>
    </row>
    <row r="15" spans="3:20">
      <c r="C15" s="97"/>
      <c r="D15" s="98"/>
      <c r="F15" s="86"/>
      <c r="G15" s="91"/>
      <c r="H15" s="92"/>
    </row>
    <row r="16" spans="3:20">
      <c r="C16" s="97"/>
      <c r="D16" s="98"/>
      <c r="F16" s="86"/>
      <c r="G16" s="91"/>
      <c r="H16" s="92"/>
    </row>
    <row r="17" spans="3:8">
      <c r="C17" s="97"/>
      <c r="D17" s="98"/>
      <c r="F17" s="86"/>
      <c r="G17" s="91"/>
      <c r="H17" s="92"/>
    </row>
    <row r="18" spans="3:8">
      <c r="C18" s="97"/>
      <c r="D18" s="98"/>
      <c r="F18" s="86"/>
      <c r="G18" s="91"/>
      <c r="H18" s="92"/>
    </row>
    <row r="19" spans="3:8">
      <c r="C19" s="97"/>
      <c r="D19" s="98"/>
      <c r="F19" s="86"/>
      <c r="G19" s="91"/>
      <c r="H19" s="92"/>
    </row>
    <row r="20" spans="3:8">
      <c r="C20" s="97"/>
      <c r="D20" s="98"/>
      <c r="F20" s="86"/>
      <c r="G20" s="91"/>
      <c r="H20" s="92"/>
    </row>
    <row r="21" spans="3:8">
      <c r="C21" s="97"/>
      <c r="D21" s="98"/>
      <c r="F21" s="86"/>
      <c r="G21" s="91"/>
      <c r="H21" s="92"/>
    </row>
    <row r="22" spans="3:8">
      <c r="C22" s="97"/>
      <c r="D22" s="98"/>
      <c r="F22" s="86"/>
      <c r="G22" s="91"/>
      <c r="H22" s="92"/>
    </row>
    <row r="23" spans="3:8">
      <c r="C23" s="97"/>
      <c r="D23" s="98"/>
      <c r="F23" s="86"/>
      <c r="G23" s="91"/>
      <c r="H23" s="92"/>
    </row>
    <row r="24" spans="3:8">
      <c r="C24" s="97"/>
      <c r="D24" s="98"/>
      <c r="F24" s="86"/>
      <c r="G24" s="91"/>
      <c r="H24" s="92"/>
    </row>
    <row r="25" spans="3:8">
      <c r="C25" s="97"/>
      <c r="D25" s="98"/>
      <c r="F25" s="86"/>
      <c r="G25" s="91"/>
      <c r="H25" s="92"/>
    </row>
    <row r="26" spans="3:8" ht="19.5" thickBot="1">
      <c r="C26" s="97"/>
      <c r="D26" s="98"/>
      <c r="F26" s="87"/>
      <c r="G26" s="93"/>
      <c r="H26" s="94"/>
    </row>
    <row r="27" spans="3:8">
      <c r="C27" s="97"/>
      <c r="D27" s="98"/>
    </row>
    <row r="28" spans="3:8">
      <c r="C28" s="97"/>
      <c r="D28" s="98"/>
    </row>
    <row r="29" spans="3:8">
      <c r="C29" s="97"/>
      <c r="D29" s="98"/>
      <c r="F29" s="33"/>
      <c r="G29" s="33"/>
      <c r="H29" s="33"/>
    </row>
    <row r="30" spans="3:8">
      <c r="C30" s="97"/>
      <c r="D30" s="98"/>
    </row>
    <row r="31" spans="3:8">
      <c r="C31" s="97"/>
      <c r="D31" s="98"/>
    </row>
    <row r="32" spans="3:8">
      <c r="C32" s="97"/>
      <c r="D32" s="98"/>
    </row>
    <row r="33" spans="3:4">
      <c r="C33" s="97"/>
      <c r="D33" s="98"/>
    </row>
    <row r="34" spans="3:4">
      <c r="C34" s="97"/>
      <c r="D34" s="98"/>
    </row>
    <row r="35" spans="3:4">
      <c r="C35" s="97"/>
      <c r="D35" s="98"/>
    </row>
    <row r="36" spans="3:4">
      <c r="C36" s="97"/>
      <c r="D36" s="98"/>
    </row>
    <row r="37" spans="3:4">
      <c r="C37" s="97"/>
      <c r="D37" s="98"/>
    </row>
    <row r="38" spans="3:4">
      <c r="C38" s="97"/>
      <c r="D38" s="98"/>
    </row>
    <row r="39" spans="3:4">
      <c r="C39" s="97"/>
      <c r="D39" s="98"/>
    </row>
    <row r="40" spans="3:4">
      <c r="C40" s="97"/>
      <c r="D40" s="98"/>
    </row>
    <row r="41" spans="3:4">
      <c r="C41" s="97"/>
      <c r="D41" s="98"/>
    </row>
    <row r="42" spans="3:4">
      <c r="C42" s="97"/>
      <c r="D42" s="98"/>
    </row>
    <row r="43" spans="3:4">
      <c r="C43" s="97"/>
      <c r="D43" s="98"/>
    </row>
    <row r="44" spans="3:4">
      <c r="C44" s="97"/>
      <c r="D44" s="98"/>
    </row>
    <row r="45" spans="3:4">
      <c r="C45" s="97"/>
      <c r="D45" s="98"/>
    </row>
    <row r="46" spans="3:4">
      <c r="C46" s="97"/>
      <c r="D46" s="98"/>
    </row>
    <row r="47" spans="3:4">
      <c r="C47" s="97"/>
      <c r="D47" s="98"/>
    </row>
    <row r="48" spans="3:4">
      <c r="C48" s="97"/>
      <c r="D48" s="98"/>
    </row>
    <row r="49" spans="3:4">
      <c r="C49" s="97"/>
      <c r="D49" s="98"/>
    </row>
    <row r="50" spans="3:4">
      <c r="C50" s="97"/>
      <c r="D50" s="98"/>
    </row>
    <row r="51" spans="3:4">
      <c r="C51" s="97"/>
      <c r="D51" s="98"/>
    </row>
    <row r="52" spans="3:4">
      <c r="C52" s="97"/>
      <c r="D52" s="98"/>
    </row>
    <row r="53" spans="3:4">
      <c r="C53" s="97"/>
      <c r="D53" s="98"/>
    </row>
    <row r="54" spans="3:4">
      <c r="C54" s="97"/>
      <c r="D54" s="98"/>
    </row>
    <row r="55" spans="3:4">
      <c r="C55" s="97"/>
      <c r="D55" s="98"/>
    </row>
    <row r="56" spans="3:4">
      <c r="C56" s="97"/>
      <c r="D56" s="98"/>
    </row>
    <row r="57" spans="3:4">
      <c r="C57" s="97"/>
      <c r="D57" s="98"/>
    </row>
    <row r="58" spans="3:4">
      <c r="C58" s="97"/>
      <c r="D58" s="98"/>
    </row>
    <row r="59" spans="3:4">
      <c r="C59" s="97"/>
      <c r="D59" s="98"/>
    </row>
    <row r="60" spans="3:4">
      <c r="C60" s="97"/>
      <c r="D60" s="98"/>
    </row>
    <row r="61" spans="3:4">
      <c r="C61" s="97"/>
      <c r="D61" s="98"/>
    </row>
    <row r="62" spans="3:4">
      <c r="C62" s="97"/>
      <c r="D62" s="98"/>
    </row>
    <row r="63" spans="3:4">
      <c r="C63" s="97"/>
      <c r="D63" s="98"/>
    </row>
    <row r="64" spans="3:4">
      <c r="C64" s="97"/>
      <c r="D64" s="98"/>
    </row>
    <row r="65" spans="3:4">
      <c r="C65" s="97"/>
      <c r="D65" s="98"/>
    </row>
    <row r="66" spans="3:4">
      <c r="C66" s="97"/>
      <c r="D66" s="98"/>
    </row>
    <row r="67" spans="3:4">
      <c r="C67" s="97"/>
      <c r="D67" s="98"/>
    </row>
    <row r="68" spans="3:4">
      <c r="C68" s="97"/>
      <c r="D68" s="98"/>
    </row>
    <row r="69" spans="3:4">
      <c r="C69" s="97"/>
      <c r="D69" s="98"/>
    </row>
    <row r="70" spans="3:4">
      <c r="C70" s="97"/>
      <c r="D70" s="98"/>
    </row>
    <row r="71" spans="3:4">
      <c r="C71" s="97"/>
      <c r="D71" s="98"/>
    </row>
    <row r="72" spans="3:4">
      <c r="C72" s="97"/>
      <c r="D72" s="98"/>
    </row>
    <row r="73" spans="3:4">
      <c r="C73" s="97"/>
      <c r="D73" s="98"/>
    </row>
    <row r="74" spans="3:4">
      <c r="C74" s="97"/>
      <c r="D74" s="98"/>
    </row>
    <row r="75" spans="3:4">
      <c r="C75" s="97"/>
      <c r="D75" s="98"/>
    </row>
    <row r="76" spans="3:4">
      <c r="C76" s="97"/>
      <c r="D76" s="98"/>
    </row>
    <row r="77" spans="3:4">
      <c r="C77" s="97"/>
      <c r="D77" s="98"/>
    </row>
    <row r="78" spans="3:4">
      <c r="C78" s="97"/>
      <c r="D78" s="98"/>
    </row>
    <row r="79" spans="3:4">
      <c r="C79" s="97"/>
      <c r="D79" s="98"/>
    </row>
    <row r="80" spans="3:4">
      <c r="C80" s="97"/>
      <c r="D80" s="98"/>
    </row>
    <row r="81" spans="3:4">
      <c r="C81" s="97"/>
      <c r="D81" s="98"/>
    </row>
    <row r="82" spans="3:4">
      <c r="C82" s="97"/>
      <c r="D82" s="98"/>
    </row>
    <row r="83" spans="3:4">
      <c r="C83" s="97"/>
      <c r="D83" s="98"/>
    </row>
    <row r="84" spans="3:4">
      <c r="C84" s="97"/>
      <c r="D84" s="98"/>
    </row>
    <row r="85" spans="3:4">
      <c r="C85" s="97"/>
      <c r="D85" s="98"/>
    </row>
    <row r="86" spans="3:4">
      <c r="C86" s="97"/>
      <c r="D86" s="98"/>
    </row>
    <row r="87" spans="3:4">
      <c r="C87" s="97"/>
      <c r="D87" s="98"/>
    </row>
    <row r="88" spans="3:4">
      <c r="C88" s="97"/>
      <c r="D88" s="98"/>
    </row>
    <row r="89" spans="3:4">
      <c r="C89" s="97"/>
      <c r="D89" s="98"/>
    </row>
    <row r="90" spans="3:4">
      <c r="C90" s="97"/>
      <c r="D90" s="98"/>
    </row>
    <row r="91" spans="3:4">
      <c r="C91" s="97"/>
      <c r="D91" s="98"/>
    </row>
    <row r="92" spans="3:4">
      <c r="C92" s="97"/>
      <c r="D92" s="98"/>
    </row>
    <row r="93" spans="3:4">
      <c r="C93" s="97"/>
      <c r="D93" s="98"/>
    </row>
    <row r="94" spans="3:4">
      <c r="C94" s="97"/>
      <c r="D94" s="98"/>
    </row>
    <row r="95" spans="3:4">
      <c r="C95" s="97"/>
      <c r="D95" s="98"/>
    </row>
    <row r="96" spans="3:4">
      <c r="C96" s="97"/>
      <c r="D96" s="98"/>
    </row>
    <row r="97" spans="3:4">
      <c r="C97" s="97"/>
      <c r="D97" s="98"/>
    </row>
    <row r="98" spans="3:4">
      <c r="C98" s="97"/>
      <c r="D98" s="98"/>
    </row>
    <row r="99" spans="3:4">
      <c r="C99" s="97"/>
      <c r="D99" s="98"/>
    </row>
    <row r="100" spans="3:4">
      <c r="C100" s="97"/>
      <c r="D100" s="98"/>
    </row>
    <row r="101" spans="3:4">
      <c r="C101" s="97"/>
      <c r="D101" s="98"/>
    </row>
    <row r="102" spans="3:4">
      <c r="C102" s="97"/>
      <c r="D102" s="98"/>
    </row>
    <row r="103" spans="3:4">
      <c r="C103" s="97"/>
      <c r="D103" s="98"/>
    </row>
    <row r="104" spans="3:4">
      <c r="C104" s="97"/>
      <c r="D104" s="98"/>
    </row>
    <row r="105" spans="3:4">
      <c r="C105" s="97"/>
      <c r="D105" s="98"/>
    </row>
    <row r="106" spans="3:4">
      <c r="C106" s="97"/>
      <c r="D106" s="98"/>
    </row>
    <row r="107" spans="3:4">
      <c r="C107" s="97"/>
      <c r="D107" s="98"/>
    </row>
    <row r="108" spans="3:4">
      <c r="C108" s="97"/>
      <c r="D108" s="98"/>
    </row>
    <row r="109" spans="3:4">
      <c r="C109" s="97"/>
      <c r="D109" s="98"/>
    </row>
    <row r="110" spans="3:4">
      <c r="C110" s="97"/>
      <c r="D110" s="98"/>
    </row>
    <row r="111" spans="3:4">
      <c r="C111" s="97"/>
      <c r="D111" s="98"/>
    </row>
  </sheetData>
  <sortState ref="F5:H18">
    <sortCondition ref="F5:F18"/>
  </sortState>
  <mergeCells count="2">
    <mergeCell ref="F3:H3"/>
    <mergeCell ref="C3:D3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C1:XFB198"/>
  <sheetViews>
    <sheetView showGridLines="0" tabSelected="1" zoomScaleNormal="100" workbookViewId="0">
      <pane ySplit="5" topLeftCell="A6" activePane="bottomLeft" state="frozen"/>
      <selection pane="bottomLeft" activeCell="T17" sqref="T17"/>
    </sheetView>
  </sheetViews>
  <sheetFormatPr defaultRowHeight="18.75"/>
  <cols>
    <col min="1" max="1" width="9" style="31"/>
    <col min="2" max="2" width="9" style="31" customWidth="1"/>
    <col min="3" max="3" width="4" style="31" bestFit="1" customWidth="1"/>
    <col min="4" max="5" width="14.25" style="31" bestFit="1" customWidth="1"/>
    <col min="6" max="6" width="11.375" style="82" bestFit="1" customWidth="1"/>
    <col min="7" max="7" width="7.125" style="31" bestFit="1" customWidth="1"/>
    <col min="8" max="8" width="7.375" style="31" bestFit="1" customWidth="1"/>
    <col min="9" max="10" width="6" style="31" customWidth="1"/>
    <col min="11" max="11" width="7.375" style="31" bestFit="1" customWidth="1"/>
    <col min="12" max="13" width="6" style="31" customWidth="1"/>
    <col min="14" max="14" width="5.5" style="31" bestFit="1" customWidth="1"/>
    <col min="15" max="16" width="6" style="31" customWidth="1"/>
    <col min="17" max="17" width="5.5" style="31" bestFit="1" customWidth="1"/>
    <col min="18" max="18" width="12.375" style="82" customWidth="1"/>
    <col min="19" max="19" width="15.625" style="82" customWidth="1"/>
    <col min="20" max="20" width="11.125" style="82" customWidth="1"/>
    <col min="21" max="21" width="19.5" style="99" bestFit="1" customWidth="1"/>
    <col min="22" max="22" width="15.75" style="99" bestFit="1" customWidth="1"/>
    <col min="23" max="16384" width="9" style="31"/>
  </cols>
  <sheetData>
    <row r="1" spans="3:22 16382:16382" ht="19.5" thickBot="1">
      <c r="D1" s="33" t="s">
        <v>8</v>
      </c>
      <c r="E1" s="33" t="s">
        <v>9</v>
      </c>
    </row>
    <row r="2" spans="3:22 16382:16382">
      <c r="C2" s="37" t="s">
        <v>15</v>
      </c>
      <c r="D2" s="35"/>
      <c r="E2" s="35"/>
      <c r="Q2" s="60" t="s">
        <v>17</v>
      </c>
    </row>
    <row r="3" spans="3:22 16382:16382" ht="19.5" thickBot="1">
      <c r="C3" s="37" t="s">
        <v>16</v>
      </c>
      <c r="D3" s="36"/>
      <c r="E3" s="36"/>
      <c r="Q3" s="61" t="s">
        <v>18</v>
      </c>
    </row>
    <row r="4" spans="3:22 16382:16382" ht="19.5" thickBot="1">
      <c r="D4" s="34"/>
      <c r="E4" s="34"/>
      <c r="F4" s="83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83"/>
      <c r="S4" s="83"/>
      <c r="T4" s="83"/>
    </row>
    <row r="5" spans="3:22 16382:16382" ht="19.5" thickBot="1">
      <c r="C5" s="32"/>
      <c r="D5" s="47" t="s">
        <v>46</v>
      </c>
      <c r="E5" s="50" t="s">
        <v>9</v>
      </c>
      <c r="F5" s="51" t="s">
        <v>10</v>
      </c>
      <c r="G5" s="49" t="s">
        <v>11</v>
      </c>
      <c r="H5" s="148" t="s">
        <v>42</v>
      </c>
      <c r="I5" s="58" t="s">
        <v>40</v>
      </c>
      <c r="J5" s="147" t="s">
        <v>41</v>
      </c>
      <c r="K5" s="149" t="s">
        <v>43</v>
      </c>
      <c r="L5" s="57" t="s">
        <v>40</v>
      </c>
      <c r="M5" s="113" t="s">
        <v>41</v>
      </c>
      <c r="N5" s="109" t="s">
        <v>47</v>
      </c>
      <c r="O5" s="58" t="s">
        <v>40</v>
      </c>
      <c r="P5" s="59" t="s">
        <v>41</v>
      </c>
      <c r="Q5" s="48" t="s">
        <v>14</v>
      </c>
      <c r="R5" s="84" t="s">
        <v>48</v>
      </c>
      <c r="S5" s="85" t="s">
        <v>44</v>
      </c>
      <c r="U5" s="142" t="s">
        <v>10</v>
      </c>
      <c r="V5" s="142" t="s">
        <v>11</v>
      </c>
    </row>
    <row r="6" spans="3:22 16382:16382" s="32" customFormat="1">
      <c r="C6" s="45">
        <f>C5+1</f>
        <v>1</v>
      </c>
      <c r="D6" s="42"/>
      <c r="E6" s="52"/>
      <c r="F6" s="53"/>
      <c r="G6" s="43"/>
      <c r="H6" s="56"/>
      <c r="I6" s="63"/>
      <c r="J6" s="106"/>
      <c r="K6" s="114"/>
      <c r="L6" s="62"/>
      <c r="M6" s="115"/>
      <c r="N6" s="110"/>
      <c r="O6" s="63"/>
      <c r="P6" s="64"/>
      <c r="Q6" s="44"/>
      <c r="R6" s="46"/>
      <c r="S6" s="54"/>
      <c r="T6" s="139"/>
      <c r="U6" s="143" t="str">
        <f>IF(F6="","",VLOOKUP(F6,set!$C$5:$D$111,2,FALSE))</f>
        <v/>
      </c>
      <c r="V6" s="143" t="str">
        <f>IF(G6="","",VLOOKUP(G6,set!$G$5:$H$26,2,FALSE))</f>
        <v/>
      </c>
    </row>
    <row r="7" spans="3:22 16382:16382" s="32" customFormat="1">
      <c r="C7" s="45">
        <f t="shared" ref="C7:C16" si="0">C6+1</f>
        <v>2</v>
      </c>
      <c r="D7" s="42"/>
      <c r="E7" s="52"/>
      <c r="F7" s="53"/>
      <c r="G7" s="43"/>
      <c r="H7" s="56"/>
      <c r="I7" s="63"/>
      <c r="J7" s="106"/>
      <c r="K7" s="114"/>
      <c r="L7" s="62"/>
      <c r="M7" s="115"/>
      <c r="N7" s="110"/>
      <c r="O7" s="63"/>
      <c r="P7" s="64"/>
      <c r="Q7" s="44"/>
      <c r="R7" s="46"/>
      <c r="S7" s="54"/>
      <c r="T7" s="139"/>
      <c r="U7" s="143" t="str">
        <f>IF(F7="","",VLOOKUP(F7,set!$C$5:$D$111,2,FALSE))</f>
        <v/>
      </c>
      <c r="V7" s="143" t="str">
        <f>IF(G7="","",VLOOKUP(G7,set!$G$5:$H$26,2,FALSE))</f>
        <v/>
      </c>
    </row>
    <row r="8" spans="3:22 16382:16382">
      <c r="C8" s="45">
        <f>C7+1</f>
        <v>3</v>
      </c>
      <c r="D8" s="42"/>
      <c r="E8" s="52"/>
      <c r="F8" s="53"/>
      <c r="G8" s="43"/>
      <c r="H8" s="56"/>
      <c r="I8" s="63"/>
      <c r="J8" s="106"/>
      <c r="K8" s="114"/>
      <c r="L8" s="62"/>
      <c r="M8" s="115"/>
      <c r="N8" s="110"/>
      <c r="O8" s="63"/>
      <c r="P8" s="64"/>
      <c r="Q8" s="44"/>
      <c r="R8" s="46"/>
      <c r="S8" s="54"/>
      <c r="T8" s="139"/>
      <c r="U8" s="143" t="str">
        <f>IF(F8="","",VLOOKUP(F8,set!$C$5:$D$111,2,FALSE))</f>
        <v/>
      </c>
      <c r="V8" s="143" t="str">
        <f>IF(G8="","",VLOOKUP(G8,set!$G$5:$H$26,2,FALSE))</f>
        <v/>
      </c>
    </row>
    <row r="9" spans="3:22 16382:16382">
      <c r="C9" s="45">
        <f t="shared" si="0"/>
        <v>4</v>
      </c>
      <c r="D9" s="42"/>
      <c r="E9" s="52"/>
      <c r="F9" s="53"/>
      <c r="G9" s="43"/>
      <c r="H9" s="56"/>
      <c r="I9" s="63"/>
      <c r="J9" s="106"/>
      <c r="K9" s="114"/>
      <c r="L9" s="62"/>
      <c r="M9" s="115"/>
      <c r="N9" s="110"/>
      <c r="O9" s="63"/>
      <c r="P9" s="64"/>
      <c r="Q9" s="44"/>
      <c r="R9" s="46"/>
      <c r="S9" s="54"/>
      <c r="T9" s="139"/>
      <c r="U9" s="143" t="str">
        <f>IF(F9="","",VLOOKUP(F9,set!$C$5:$D$111,2,FALSE))</f>
        <v/>
      </c>
      <c r="V9" s="143" t="str">
        <f>IF(G9="","",VLOOKUP(G9,set!$G$5:$H$26,2,FALSE))</f>
        <v/>
      </c>
    </row>
    <row r="10" spans="3:22 16382:16382">
      <c r="C10" s="45">
        <f>C9+1</f>
        <v>5</v>
      </c>
      <c r="D10" s="42"/>
      <c r="E10" s="52"/>
      <c r="F10" s="53"/>
      <c r="G10" s="103"/>
      <c r="H10" s="104"/>
      <c r="I10" s="62"/>
      <c r="J10" s="107"/>
      <c r="K10" s="116"/>
      <c r="L10" s="62"/>
      <c r="M10" s="117"/>
      <c r="N10" s="111"/>
      <c r="O10" s="62"/>
      <c r="P10" s="105"/>
      <c r="Q10" s="44"/>
      <c r="R10" s="67"/>
      <c r="S10" s="54"/>
      <c r="T10" s="139"/>
      <c r="U10" s="143" t="str">
        <f>IF(F10="","",VLOOKUP(F10,set!$C$5:$D$111,2,FALSE))</f>
        <v/>
      </c>
      <c r="V10" s="143" t="str">
        <f>IF(G10="","",VLOOKUP(G10,set!$G$5:$H$26,2,FALSE))</f>
        <v/>
      </c>
      <c r="XFB10" s="31">
        <v>8</v>
      </c>
    </row>
    <row r="11" spans="3:22 16382:16382">
      <c r="C11" s="45">
        <f t="shared" si="0"/>
        <v>6</v>
      </c>
      <c r="D11" s="42"/>
      <c r="E11" s="52"/>
      <c r="F11" s="53"/>
      <c r="G11" s="43"/>
      <c r="H11" s="56"/>
      <c r="I11" s="63"/>
      <c r="J11" s="106"/>
      <c r="K11" s="114"/>
      <c r="L11" s="62"/>
      <c r="M11" s="115"/>
      <c r="N11" s="110"/>
      <c r="O11" s="63"/>
      <c r="P11" s="64"/>
      <c r="Q11" s="44"/>
      <c r="R11" s="46"/>
      <c r="S11" s="54"/>
      <c r="T11" s="139"/>
      <c r="U11" s="143" t="str">
        <f>IF(F11="","",VLOOKUP(F11,set!$C$5:$D$111,2,FALSE))</f>
        <v/>
      </c>
      <c r="V11" s="143" t="str">
        <f>IF(G11="","",VLOOKUP(G11,set!$G$5:$H$26,2,FALSE))</f>
        <v/>
      </c>
    </row>
    <row r="12" spans="3:22 16382:16382">
      <c r="C12" s="45">
        <f t="shared" si="0"/>
        <v>7</v>
      </c>
      <c r="D12" s="42"/>
      <c r="E12" s="52"/>
      <c r="F12" s="53"/>
      <c r="G12" s="43"/>
      <c r="H12" s="56"/>
      <c r="I12" s="63"/>
      <c r="J12" s="106"/>
      <c r="K12" s="114"/>
      <c r="L12" s="62"/>
      <c r="M12" s="115"/>
      <c r="N12" s="110"/>
      <c r="O12" s="63"/>
      <c r="P12" s="64"/>
      <c r="Q12" s="44"/>
      <c r="R12" s="46"/>
      <c r="S12" s="54"/>
      <c r="T12" s="139"/>
      <c r="U12" s="143" t="str">
        <f>IF(F12="","",VLOOKUP(F12,set!$C$5:$D$111,2,FALSE))</f>
        <v/>
      </c>
      <c r="V12" s="143" t="str">
        <f>IF(G12="","",VLOOKUP(G12,set!$G$5:$H$26,2,FALSE))</f>
        <v/>
      </c>
    </row>
    <row r="13" spans="3:22 16382:16382">
      <c r="C13" s="45">
        <f t="shared" si="0"/>
        <v>8</v>
      </c>
      <c r="D13" s="42"/>
      <c r="E13" s="52"/>
      <c r="F13" s="53"/>
      <c r="G13" s="43"/>
      <c r="H13" s="56"/>
      <c r="I13" s="63"/>
      <c r="J13" s="106"/>
      <c r="K13" s="114"/>
      <c r="L13" s="62"/>
      <c r="M13" s="115"/>
      <c r="N13" s="110"/>
      <c r="O13" s="63"/>
      <c r="P13" s="64"/>
      <c r="Q13" s="44"/>
      <c r="R13" s="46"/>
      <c r="S13" s="54"/>
      <c r="T13" s="139"/>
      <c r="U13" s="143" t="str">
        <f>IF(F13="","",VLOOKUP(F13,set!$C$5:$D$111,2,FALSE))</f>
        <v/>
      </c>
      <c r="V13" s="143" t="str">
        <f>IF(G13="","",VLOOKUP(G13,set!$G$5:$H$26,2,FALSE))</f>
        <v/>
      </c>
    </row>
    <row r="14" spans="3:22 16382:16382">
      <c r="C14" s="41">
        <f t="shared" si="0"/>
        <v>9</v>
      </c>
      <c r="D14" s="55"/>
      <c r="E14" s="52"/>
      <c r="F14" s="53"/>
      <c r="G14" s="43"/>
      <c r="H14" s="56"/>
      <c r="I14" s="63"/>
      <c r="J14" s="106"/>
      <c r="K14" s="114"/>
      <c r="L14" s="62"/>
      <c r="M14" s="115"/>
      <c r="N14" s="110"/>
      <c r="O14" s="63"/>
      <c r="P14" s="64"/>
      <c r="Q14" s="44"/>
      <c r="R14" s="46"/>
      <c r="S14" s="54"/>
      <c r="T14" s="139"/>
      <c r="U14" s="143" t="str">
        <f>IF(F14="","",VLOOKUP(F14,set!$C$5:$D$111,2,FALSE))</f>
        <v/>
      </c>
      <c r="V14" s="143" t="str">
        <f>IF(G14="","",VLOOKUP(G14,set!$G$5:$H$26,2,FALSE))</f>
        <v/>
      </c>
    </row>
    <row r="15" spans="3:22 16382:16382">
      <c r="C15" s="41">
        <f t="shared" si="0"/>
        <v>10</v>
      </c>
      <c r="D15" s="55"/>
      <c r="E15" s="52"/>
      <c r="F15" s="53"/>
      <c r="G15" s="43"/>
      <c r="H15" s="56"/>
      <c r="I15" s="63"/>
      <c r="J15" s="106"/>
      <c r="K15" s="114"/>
      <c r="L15" s="62"/>
      <c r="M15" s="115"/>
      <c r="N15" s="110"/>
      <c r="O15" s="63"/>
      <c r="P15" s="64"/>
      <c r="Q15" s="44"/>
      <c r="R15" s="46"/>
      <c r="S15" s="54"/>
      <c r="T15" s="139"/>
      <c r="U15" s="143" t="str">
        <f>IF(F15="","",VLOOKUP(F15,set!$C$5:$D$111,2,FALSE))</f>
        <v/>
      </c>
      <c r="V15" s="143" t="str">
        <f>IF(G15="","",VLOOKUP(G15,set!$G$5:$H$26,2,FALSE))</f>
        <v/>
      </c>
    </row>
    <row r="16" spans="3:22 16382:16382">
      <c r="C16" s="32">
        <f t="shared" si="0"/>
        <v>11</v>
      </c>
      <c r="D16" s="55"/>
      <c r="E16" s="52"/>
      <c r="F16" s="53"/>
      <c r="G16" s="43"/>
      <c r="H16" s="56"/>
      <c r="I16" s="63"/>
      <c r="J16" s="106"/>
      <c r="K16" s="114"/>
      <c r="L16" s="62"/>
      <c r="M16" s="115"/>
      <c r="N16" s="110"/>
      <c r="O16" s="63"/>
      <c r="P16" s="64"/>
      <c r="Q16" s="44"/>
      <c r="R16" s="46"/>
      <c r="S16" s="54"/>
      <c r="T16" s="139"/>
      <c r="U16" s="143" t="str">
        <f>IF(F16="","",VLOOKUP(F16,set!$C$5:$D$111,2,FALSE))</f>
        <v/>
      </c>
      <c r="V16" s="143" t="str">
        <f>IF(G16="","",VLOOKUP(G16,set!$G$5:$H$26,2,FALSE))</f>
        <v/>
      </c>
    </row>
    <row r="17" spans="3:22">
      <c r="C17" s="32">
        <f>C16+1</f>
        <v>12</v>
      </c>
      <c r="D17" s="55"/>
      <c r="E17" s="52"/>
      <c r="F17" s="53"/>
      <c r="G17" s="43"/>
      <c r="H17" s="56"/>
      <c r="I17" s="63"/>
      <c r="J17" s="106"/>
      <c r="K17" s="114"/>
      <c r="L17" s="62"/>
      <c r="M17" s="115"/>
      <c r="N17" s="110"/>
      <c r="O17" s="63"/>
      <c r="P17" s="64"/>
      <c r="Q17" s="44"/>
      <c r="R17" s="46"/>
      <c r="S17" s="54"/>
      <c r="T17" s="139"/>
      <c r="U17" s="143" t="str">
        <f>IF(F17="","",VLOOKUP(F17,set!$C$5:$D$111,2,FALSE))</f>
        <v/>
      </c>
      <c r="V17" s="143" t="str">
        <f>IF(G17="","",VLOOKUP(G17,set!$G$5:$H$26,2,FALSE))</f>
        <v/>
      </c>
    </row>
    <row r="18" spans="3:22">
      <c r="C18" s="32">
        <f>C17+1</f>
        <v>13</v>
      </c>
      <c r="D18" s="55"/>
      <c r="E18" s="52"/>
      <c r="F18" s="53"/>
      <c r="G18" s="43"/>
      <c r="H18" s="56"/>
      <c r="I18" s="63"/>
      <c r="J18" s="106"/>
      <c r="K18" s="114"/>
      <c r="L18" s="62"/>
      <c r="M18" s="115"/>
      <c r="N18" s="110"/>
      <c r="O18" s="63"/>
      <c r="P18" s="64"/>
      <c r="Q18" s="44"/>
      <c r="R18" s="46"/>
      <c r="S18" s="54"/>
      <c r="T18" s="139"/>
      <c r="U18" s="100" t="str">
        <f>IF(F18="","",VLOOKUP(F18,set!$C$5:$D$111,2,FALSE))</f>
        <v/>
      </c>
      <c r="V18" s="100" t="str">
        <f>IF(G18="","",VLOOKUP(G18,set!$G$5:$H$26,2,FALSE))</f>
        <v/>
      </c>
    </row>
    <row r="19" spans="3:22">
      <c r="C19" s="32">
        <f>C18+1</f>
        <v>14</v>
      </c>
      <c r="D19" s="55"/>
      <c r="E19" s="52"/>
      <c r="F19" s="53"/>
      <c r="G19" s="43"/>
      <c r="H19" s="56"/>
      <c r="I19" s="63"/>
      <c r="J19" s="106"/>
      <c r="K19" s="114"/>
      <c r="L19" s="62"/>
      <c r="M19" s="115"/>
      <c r="N19" s="110"/>
      <c r="O19" s="63"/>
      <c r="P19" s="64"/>
      <c r="Q19" s="44"/>
      <c r="R19" s="46"/>
      <c r="S19" s="54"/>
      <c r="T19" s="139"/>
      <c r="U19" s="100" t="str">
        <f>IF(F19="","",VLOOKUP(F19,set!$C$5:$D$111,2,FALSE))</f>
        <v/>
      </c>
      <c r="V19" s="100" t="str">
        <f>IF(G19="","",VLOOKUP(G19,set!$G$5:$H$26,2,FALSE))</f>
        <v/>
      </c>
    </row>
    <row r="20" spans="3:22">
      <c r="C20" s="32">
        <f>C19+1</f>
        <v>15</v>
      </c>
      <c r="D20" s="55"/>
      <c r="E20" s="52"/>
      <c r="F20" s="53"/>
      <c r="G20" s="43"/>
      <c r="H20" s="56"/>
      <c r="I20" s="63"/>
      <c r="J20" s="106"/>
      <c r="K20" s="114"/>
      <c r="L20" s="62"/>
      <c r="M20" s="115"/>
      <c r="N20" s="110"/>
      <c r="O20" s="63"/>
      <c r="P20" s="64"/>
      <c r="Q20" s="44"/>
      <c r="R20" s="46"/>
      <c r="S20" s="54"/>
      <c r="T20" s="139"/>
      <c r="U20" s="100" t="str">
        <f>IF(F20="","",VLOOKUP(F20,set!$C$5:$D$111,2,FALSE))</f>
        <v/>
      </c>
      <c r="V20" s="100" t="str">
        <f>IF(G20="","",VLOOKUP(G20,set!$G$5:$H$26,2,FALSE))</f>
        <v/>
      </c>
    </row>
    <row r="21" spans="3:22">
      <c r="C21" s="32">
        <f>C20+1</f>
        <v>16</v>
      </c>
      <c r="D21" s="55"/>
      <c r="E21" s="52"/>
      <c r="F21" s="53"/>
      <c r="G21" s="103"/>
      <c r="H21" s="104"/>
      <c r="I21" s="62"/>
      <c r="J21" s="107"/>
      <c r="K21" s="116"/>
      <c r="L21" s="62"/>
      <c r="M21" s="117"/>
      <c r="N21" s="111"/>
      <c r="O21" s="62"/>
      <c r="P21" s="105"/>
      <c r="Q21" s="44"/>
      <c r="R21" s="67"/>
      <c r="S21" s="54"/>
      <c r="T21" s="139"/>
      <c r="U21" s="100" t="str">
        <f>IF(F21="","",VLOOKUP(F21,set!$C$5:$D$111,2,FALSE))</f>
        <v/>
      </c>
      <c r="V21" s="100" t="str">
        <f>IF(G21="","",VLOOKUP(G21,set!$G$5:$H$26,2,FALSE))</f>
        <v/>
      </c>
    </row>
    <row r="22" spans="3:22">
      <c r="C22" s="32">
        <f t="shared" ref="C22:C32" si="1">C21+1</f>
        <v>17</v>
      </c>
      <c r="D22" s="55"/>
      <c r="E22" s="52"/>
      <c r="F22" s="53"/>
      <c r="G22" s="103"/>
      <c r="H22" s="104"/>
      <c r="I22" s="62"/>
      <c r="J22" s="107"/>
      <c r="K22" s="116"/>
      <c r="L22" s="62"/>
      <c r="M22" s="117"/>
      <c r="N22" s="111"/>
      <c r="O22" s="62"/>
      <c r="P22" s="105"/>
      <c r="Q22" s="44"/>
      <c r="R22" s="67"/>
      <c r="S22" s="54"/>
      <c r="T22" s="139"/>
      <c r="U22" s="100" t="str">
        <f>IF(F22="","",VLOOKUP(F22,set!$C$5:$D$111,2,FALSE))</f>
        <v/>
      </c>
      <c r="V22" s="100" t="str">
        <f>IF(G22="","",VLOOKUP(G22,set!$G$5:$H$26,2,FALSE))</f>
        <v/>
      </c>
    </row>
    <row r="23" spans="3:22">
      <c r="C23" s="32">
        <f t="shared" si="1"/>
        <v>18</v>
      </c>
      <c r="D23" s="55"/>
      <c r="E23" s="52"/>
      <c r="F23" s="53"/>
      <c r="G23" s="43"/>
      <c r="H23" s="56"/>
      <c r="I23" s="63"/>
      <c r="J23" s="106"/>
      <c r="K23" s="114"/>
      <c r="L23" s="62"/>
      <c r="M23" s="115"/>
      <c r="N23" s="110"/>
      <c r="O23" s="63"/>
      <c r="P23" s="64"/>
      <c r="Q23" s="44"/>
      <c r="R23" s="46"/>
      <c r="S23" s="54"/>
      <c r="T23" s="139"/>
      <c r="U23" s="100" t="str">
        <f>IF(F23="","",VLOOKUP(F23,set!$C$5:$D$111,2,FALSE))</f>
        <v/>
      </c>
      <c r="V23" s="100" t="str">
        <f>IF(G23="","",VLOOKUP(G23,set!$G$5:$H$26,2,FALSE))</f>
        <v/>
      </c>
    </row>
    <row r="24" spans="3:22">
      <c r="C24" s="32">
        <f t="shared" si="1"/>
        <v>19</v>
      </c>
      <c r="D24" s="55"/>
      <c r="E24" s="52"/>
      <c r="F24" s="53"/>
      <c r="G24" s="43"/>
      <c r="H24" s="56"/>
      <c r="I24" s="63"/>
      <c r="J24" s="106"/>
      <c r="K24" s="114"/>
      <c r="L24" s="62"/>
      <c r="M24" s="115"/>
      <c r="N24" s="110"/>
      <c r="O24" s="63"/>
      <c r="P24" s="64"/>
      <c r="Q24" s="44"/>
      <c r="R24" s="46"/>
      <c r="S24" s="54"/>
      <c r="T24" s="139"/>
      <c r="U24" s="100" t="str">
        <f>IF(F24="","",VLOOKUP(F24,set!$C$5:$D$111,2,FALSE))</f>
        <v/>
      </c>
      <c r="V24" s="100" t="str">
        <f>IF(G24="","",VLOOKUP(G24,set!$G$5:$H$26,2,FALSE))</f>
        <v/>
      </c>
    </row>
    <row r="25" spans="3:22">
      <c r="C25" s="32">
        <f t="shared" si="1"/>
        <v>20</v>
      </c>
      <c r="D25" s="55"/>
      <c r="E25" s="52"/>
      <c r="F25" s="53"/>
      <c r="G25" s="43"/>
      <c r="H25" s="56"/>
      <c r="I25" s="63"/>
      <c r="J25" s="106"/>
      <c r="K25" s="114"/>
      <c r="L25" s="63"/>
      <c r="M25" s="115"/>
      <c r="N25" s="110"/>
      <c r="O25" s="63"/>
      <c r="P25" s="64"/>
      <c r="Q25" s="44"/>
      <c r="R25" s="46"/>
      <c r="S25" s="54"/>
      <c r="T25" s="139"/>
      <c r="U25" s="100" t="str">
        <f>IF(F25="","",VLOOKUP(F25,set!$C$5:$D$111,2,FALSE))</f>
        <v/>
      </c>
      <c r="V25" s="100" t="str">
        <f>IF(G25="","",VLOOKUP(G25,set!$G$5:$H$26,2,FALSE))</f>
        <v/>
      </c>
    </row>
    <row r="26" spans="3:22">
      <c r="C26" s="32">
        <f t="shared" si="1"/>
        <v>21</v>
      </c>
      <c r="D26" s="55"/>
      <c r="E26" s="52"/>
      <c r="F26" s="53"/>
      <c r="G26" s="43"/>
      <c r="H26" s="56"/>
      <c r="I26" s="63"/>
      <c r="J26" s="106"/>
      <c r="K26" s="114"/>
      <c r="L26" s="62"/>
      <c r="M26" s="115"/>
      <c r="N26" s="110"/>
      <c r="O26" s="63"/>
      <c r="P26" s="64"/>
      <c r="Q26" s="44"/>
      <c r="R26" s="46"/>
      <c r="S26" s="54"/>
      <c r="T26" s="139"/>
      <c r="U26" s="100" t="str">
        <f>IF(F26="","",VLOOKUP(F26,set!$C$5:$D$111,2,FALSE))</f>
        <v/>
      </c>
      <c r="V26" s="100" t="str">
        <f>IF(G26="","",VLOOKUP(G26,set!$G$5:$H$26,2,FALSE))</f>
        <v/>
      </c>
    </row>
    <row r="27" spans="3:22">
      <c r="C27" s="32">
        <f t="shared" si="1"/>
        <v>22</v>
      </c>
      <c r="D27" s="55"/>
      <c r="E27" s="52"/>
      <c r="F27" s="53"/>
      <c r="G27" s="43"/>
      <c r="H27" s="56"/>
      <c r="I27" s="63"/>
      <c r="J27" s="106"/>
      <c r="K27" s="114"/>
      <c r="L27" s="62"/>
      <c r="M27" s="115"/>
      <c r="N27" s="110"/>
      <c r="O27" s="63"/>
      <c r="P27" s="64"/>
      <c r="Q27" s="44"/>
      <c r="R27" s="46"/>
      <c r="S27" s="54"/>
      <c r="T27" s="139"/>
      <c r="U27" s="100" t="str">
        <f>IF(F27="","",VLOOKUP(F27,set!$C$5:$D$111,2,FALSE))</f>
        <v/>
      </c>
      <c r="V27" s="100" t="str">
        <f>IF(G27="","",VLOOKUP(G27,set!$G$5:$H$26,2,FALSE))</f>
        <v/>
      </c>
    </row>
    <row r="28" spans="3:22">
      <c r="C28" s="32">
        <f t="shared" si="1"/>
        <v>23</v>
      </c>
      <c r="D28" s="55"/>
      <c r="E28" s="52"/>
      <c r="F28" s="53"/>
      <c r="G28" s="43"/>
      <c r="H28" s="56"/>
      <c r="I28" s="62"/>
      <c r="J28" s="106"/>
      <c r="K28" s="114"/>
      <c r="L28" s="62"/>
      <c r="M28" s="115"/>
      <c r="N28" s="111"/>
      <c r="O28" s="63"/>
      <c r="P28" s="64"/>
      <c r="Q28" s="44"/>
      <c r="R28" s="46"/>
      <c r="S28" s="54"/>
      <c r="T28" s="139"/>
      <c r="U28" s="100" t="str">
        <f>IF(F28="","",VLOOKUP(F28,set!$C$5:$D$111,2,FALSE))</f>
        <v/>
      </c>
      <c r="V28" s="100" t="str">
        <f>IF(G28="","",VLOOKUP(G28,set!$G$5:$H$26,2,FALSE))</f>
        <v/>
      </c>
    </row>
    <row r="29" spans="3:22">
      <c r="C29" s="32">
        <f t="shared" si="1"/>
        <v>24</v>
      </c>
      <c r="D29" s="55"/>
      <c r="E29" s="52"/>
      <c r="F29" s="53"/>
      <c r="G29" s="43"/>
      <c r="H29" s="56"/>
      <c r="I29" s="63"/>
      <c r="J29" s="106"/>
      <c r="K29" s="116"/>
      <c r="L29" s="63"/>
      <c r="M29" s="115"/>
      <c r="N29" s="111"/>
      <c r="O29" s="63"/>
      <c r="P29" s="64"/>
      <c r="Q29" s="44"/>
      <c r="R29" s="46"/>
      <c r="S29" s="54"/>
      <c r="T29" s="139"/>
      <c r="U29" s="100" t="str">
        <f>IF(F29="","",VLOOKUP(F29,set!$C$5:$D$111,2,FALSE))</f>
        <v/>
      </c>
      <c r="V29" s="100" t="str">
        <f>IF(G29="","",VLOOKUP(G29,set!$G$5:$H$26,2,FALSE))</f>
        <v/>
      </c>
    </row>
    <row r="30" spans="3:22">
      <c r="C30" s="32">
        <f t="shared" si="1"/>
        <v>25</v>
      </c>
      <c r="D30" s="55"/>
      <c r="E30" s="52"/>
      <c r="F30" s="53"/>
      <c r="G30" s="43"/>
      <c r="H30" s="56"/>
      <c r="I30" s="63"/>
      <c r="J30" s="106"/>
      <c r="K30" s="114"/>
      <c r="L30" s="62"/>
      <c r="M30" s="115"/>
      <c r="N30" s="110"/>
      <c r="O30" s="63"/>
      <c r="P30" s="64"/>
      <c r="Q30" s="44"/>
      <c r="R30" s="46"/>
      <c r="S30" s="54"/>
      <c r="T30" s="139"/>
      <c r="U30" s="100" t="str">
        <f>IF(F30="","",VLOOKUP(F30,set!$C$5:$D$111,2,FALSE))</f>
        <v/>
      </c>
      <c r="V30" s="100" t="str">
        <f>IF(G30="","",VLOOKUP(G30,set!$G$5:$H$26,2,FALSE))</f>
        <v/>
      </c>
    </row>
    <row r="31" spans="3:22">
      <c r="C31" s="32">
        <f t="shared" si="1"/>
        <v>26</v>
      </c>
      <c r="D31" s="55"/>
      <c r="E31" s="52"/>
      <c r="F31" s="53"/>
      <c r="G31" s="43"/>
      <c r="H31" s="56"/>
      <c r="I31" s="63"/>
      <c r="J31" s="106"/>
      <c r="K31" s="114"/>
      <c r="L31" s="62"/>
      <c r="M31" s="115"/>
      <c r="N31" s="110"/>
      <c r="O31" s="63"/>
      <c r="P31" s="64"/>
      <c r="Q31" s="44"/>
      <c r="R31" s="46"/>
      <c r="S31" s="54"/>
      <c r="T31" s="139"/>
      <c r="U31" s="100" t="str">
        <f>IF(F31="","",VLOOKUP(F31,set!$C$5:$D$111,2,FALSE))</f>
        <v/>
      </c>
      <c r="V31" s="100" t="str">
        <f>IF(G31="","",VLOOKUP(G31,set!$G$5:$H$26,2,FALSE))</f>
        <v/>
      </c>
    </row>
    <row r="32" spans="3:22">
      <c r="C32" s="32">
        <f t="shared" si="1"/>
        <v>27</v>
      </c>
      <c r="D32" s="55"/>
      <c r="E32" s="52"/>
      <c r="F32" s="53"/>
      <c r="G32" s="43"/>
      <c r="H32" s="56"/>
      <c r="I32" s="63"/>
      <c r="J32" s="106"/>
      <c r="K32" s="114"/>
      <c r="L32" s="62"/>
      <c r="M32" s="115"/>
      <c r="N32" s="110"/>
      <c r="O32" s="63"/>
      <c r="P32" s="64"/>
      <c r="Q32" s="44"/>
      <c r="R32" s="46"/>
      <c r="S32" s="54"/>
      <c r="T32" s="139"/>
      <c r="U32" s="100" t="str">
        <f>IF(F32="","",VLOOKUP(F32,set!$C$5:$D$111,2,FALSE))</f>
        <v/>
      </c>
      <c r="V32" s="100" t="str">
        <f>IF(G32="","",VLOOKUP(G32,set!$G$5:$H$26,2,FALSE))</f>
        <v/>
      </c>
    </row>
    <row r="33" spans="3:22">
      <c r="C33" s="32">
        <f>C32+1</f>
        <v>28</v>
      </c>
      <c r="D33" s="55"/>
      <c r="E33" s="52"/>
      <c r="F33" s="53"/>
      <c r="G33" s="43"/>
      <c r="H33" s="56"/>
      <c r="I33" s="63"/>
      <c r="J33" s="106"/>
      <c r="K33" s="114"/>
      <c r="L33" s="62"/>
      <c r="M33" s="115"/>
      <c r="N33" s="110"/>
      <c r="O33" s="63"/>
      <c r="P33" s="64"/>
      <c r="Q33" s="44"/>
      <c r="R33" s="46"/>
      <c r="S33" s="54"/>
      <c r="T33" s="139"/>
      <c r="U33" s="100" t="str">
        <f>IF(F33="","",VLOOKUP(F33,set!$C$5:$D$111,2,FALSE))</f>
        <v/>
      </c>
      <c r="V33" s="100" t="str">
        <f>IF(G33="","",VLOOKUP(G33,set!$G$5:$H$26,2,FALSE))</f>
        <v/>
      </c>
    </row>
    <row r="34" spans="3:22">
      <c r="C34" s="32">
        <f>C33+1</f>
        <v>29</v>
      </c>
      <c r="D34" s="55"/>
      <c r="E34" s="52"/>
      <c r="F34" s="53"/>
      <c r="G34" s="43"/>
      <c r="H34" s="56"/>
      <c r="I34" s="63"/>
      <c r="J34" s="106"/>
      <c r="K34" s="114"/>
      <c r="L34" s="62"/>
      <c r="M34" s="115"/>
      <c r="N34" s="110"/>
      <c r="O34" s="63"/>
      <c r="P34" s="64"/>
      <c r="Q34" s="44"/>
      <c r="R34" s="46"/>
      <c r="S34" s="54"/>
      <c r="T34" s="139"/>
      <c r="U34" s="100" t="str">
        <f>IF(F34="","",VLOOKUP(F34,set!$C$5:$D$111,2,FALSE))</f>
        <v/>
      </c>
      <c r="V34" s="100" t="str">
        <f>IF(G34="","",VLOOKUP(G34,set!$G$5:$H$26,2,FALSE))</f>
        <v/>
      </c>
    </row>
    <row r="35" spans="3:22">
      <c r="C35" s="32">
        <f>C34+1</f>
        <v>30</v>
      </c>
      <c r="D35" s="55"/>
      <c r="E35" s="52"/>
      <c r="F35" s="53"/>
      <c r="G35" s="43"/>
      <c r="H35" s="56"/>
      <c r="I35" s="63"/>
      <c r="J35" s="106"/>
      <c r="K35" s="114"/>
      <c r="L35" s="62"/>
      <c r="M35" s="115"/>
      <c r="N35" s="110"/>
      <c r="O35" s="63"/>
      <c r="P35" s="64"/>
      <c r="Q35" s="44"/>
      <c r="R35" s="46"/>
      <c r="S35" s="54"/>
      <c r="T35" s="139"/>
      <c r="U35" s="100" t="str">
        <f>IF(F35="","",VLOOKUP(F35,set!$C$5:$D$111,2,FALSE))</f>
        <v/>
      </c>
      <c r="V35" s="100" t="str">
        <f>IF(G35="","",VLOOKUP(G35,set!$G$5:$H$26,2,FALSE))</f>
        <v/>
      </c>
    </row>
    <row r="36" spans="3:22">
      <c r="C36" s="32">
        <f>C35+1</f>
        <v>31</v>
      </c>
      <c r="D36" s="55"/>
      <c r="E36" s="52"/>
      <c r="F36" s="53"/>
      <c r="G36" s="43"/>
      <c r="H36" s="56"/>
      <c r="I36" s="63"/>
      <c r="J36" s="106"/>
      <c r="K36" s="114"/>
      <c r="L36" s="62"/>
      <c r="M36" s="115"/>
      <c r="N36" s="110"/>
      <c r="O36" s="63"/>
      <c r="P36" s="64"/>
      <c r="Q36" s="44"/>
      <c r="R36" s="46"/>
      <c r="S36" s="54"/>
      <c r="T36" s="139"/>
      <c r="U36" s="100" t="str">
        <f>IF(F36="","",VLOOKUP(F36,set!$C$5:$D$111,2,FALSE))</f>
        <v/>
      </c>
      <c r="V36" s="100" t="str">
        <f>IF(G36="","",VLOOKUP(G36,set!$G$5:$H$26,2,FALSE))</f>
        <v/>
      </c>
    </row>
    <row r="37" spans="3:22">
      <c r="C37" s="32">
        <f>C36+1</f>
        <v>32</v>
      </c>
      <c r="D37" s="55"/>
      <c r="E37" s="52"/>
      <c r="F37" s="53"/>
      <c r="G37" s="103"/>
      <c r="H37" s="104"/>
      <c r="I37" s="62"/>
      <c r="J37" s="107"/>
      <c r="K37" s="116"/>
      <c r="L37" s="62"/>
      <c r="M37" s="117"/>
      <c r="N37" s="111"/>
      <c r="O37" s="62"/>
      <c r="P37" s="105"/>
      <c r="Q37" s="44"/>
      <c r="R37" s="67"/>
      <c r="S37" s="54"/>
      <c r="T37" s="139"/>
      <c r="U37" s="100" t="str">
        <f>IF(F37="","",VLOOKUP(F37,set!$C$5:$D$111,2,FALSE))</f>
        <v/>
      </c>
      <c r="V37" s="100" t="str">
        <f>IF(G37="","",VLOOKUP(G37,set!$G$5:$H$26,2,FALSE))</f>
        <v/>
      </c>
    </row>
    <row r="38" spans="3:22">
      <c r="C38" s="32">
        <f t="shared" ref="C38:C65" si="2">C37+1</f>
        <v>33</v>
      </c>
      <c r="D38" s="55"/>
      <c r="E38" s="52"/>
      <c r="F38" s="53"/>
      <c r="G38" s="43"/>
      <c r="H38" s="56"/>
      <c r="I38" s="63"/>
      <c r="J38" s="106"/>
      <c r="K38" s="114"/>
      <c r="L38" s="62"/>
      <c r="M38" s="115"/>
      <c r="N38" s="110"/>
      <c r="O38" s="63"/>
      <c r="P38" s="64"/>
      <c r="Q38" s="44"/>
      <c r="R38" s="46"/>
      <c r="S38" s="54"/>
      <c r="T38" s="139"/>
      <c r="U38" s="100" t="str">
        <f>IF(F38="","",VLOOKUP(F38,set!$C$5:$D$111,2,FALSE))</f>
        <v/>
      </c>
      <c r="V38" s="100" t="str">
        <f>IF(G38="","",VLOOKUP(G38,set!$G$5:$H$26,2,FALSE))</f>
        <v/>
      </c>
    </row>
    <row r="39" spans="3:22">
      <c r="C39" s="32">
        <f t="shared" si="2"/>
        <v>34</v>
      </c>
      <c r="D39" s="55"/>
      <c r="E39" s="52"/>
      <c r="F39" s="53"/>
      <c r="G39" s="43"/>
      <c r="H39" s="56"/>
      <c r="I39" s="63"/>
      <c r="J39" s="106"/>
      <c r="K39" s="114"/>
      <c r="L39" s="62"/>
      <c r="M39" s="115"/>
      <c r="N39" s="110"/>
      <c r="O39" s="63"/>
      <c r="P39" s="64"/>
      <c r="Q39" s="44"/>
      <c r="R39" s="46"/>
      <c r="S39" s="54"/>
      <c r="T39" s="139"/>
      <c r="U39" s="100" t="str">
        <f>IF(F39="","",VLOOKUP(F39,set!$C$5:$D$111,2,FALSE))</f>
        <v/>
      </c>
      <c r="V39" s="100" t="str">
        <f>IF(G39="","",VLOOKUP(G39,set!$G$5:$H$26,2,FALSE))</f>
        <v/>
      </c>
    </row>
    <row r="40" spans="3:22">
      <c r="C40" s="32">
        <f t="shared" si="2"/>
        <v>35</v>
      </c>
      <c r="D40" s="55"/>
      <c r="E40" s="52"/>
      <c r="F40" s="53"/>
      <c r="G40" s="43"/>
      <c r="H40" s="56"/>
      <c r="I40" s="63"/>
      <c r="J40" s="106"/>
      <c r="K40" s="114"/>
      <c r="L40" s="62"/>
      <c r="M40" s="115"/>
      <c r="N40" s="110"/>
      <c r="O40" s="63"/>
      <c r="P40" s="64"/>
      <c r="Q40" s="44"/>
      <c r="R40" s="46"/>
      <c r="S40" s="54"/>
      <c r="T40" s="139"/>
      <c r="U40" s="100" t="str">
        <f>IF(F40="","",VLOOKUP(F40,set!$C$5:$D$111,2,FALSE))</f>
        <v/>
      </c>
      <c r="V40" s="100" t="str">
        <f>IF(G40="","",VLOOKUP(G40,set!$G$5:$H$26,2,FALSE))</f>
        <v/>
      </c>
    </row>
    <row r="41" spans="3:22">
      <c r="C41" s="32">
        <f t="shared" si="2"/>
        <v>36</v>
      </c>
      <c r="D41" s="55"/>
      <c r="E41" s="52"/>
      <c r="F41" s="53"/>
      <c r="G41" s="43"/>
      <c r="H41" s="56"/>
      <c r="I41" s="63"/>
      <c r="J41" s="106"/>
      <c r="K41" s="114"/>
      <c r="L41" s="62"/>
      <c r="M41" s="115"/>
      <c r="N41" s="110"/>
      <c r="O41" s="63"/>
      <c r="P41" s="64"/>
      <c r="Q41" s="44"/>
      <c r="R41" s="46"/>
      <c r="S41" s="54"/>
      <c r="T41" s="139"/>
      <c r="U41" s="100" t="str">
        <f>IF(F41="","",VLOOKUP(F41,set!$C$5:$D$111,2,FALSE))</f>
        <v/>
      </c>
      <c r="V41" s="100" t="str">
        <f>IF(G41="","",VLOOKUP(G41,set!$G$5:$H$26,2,FALSE))</f>
        <v/>
      </c>
    </row>
    <row r="42" spans="3:22">
      <c r="C42" s="32">
        <f t="shared" si="2"/>
        <v>37</v>
      </c>
      <c r="D42" s="55"/>
      <c r="E42" s="52"/>
      <c r="F42" s="53"/>
      <c r="G42" s="43"/>
      <c r="H42" s="56"/>
      <c r="I42" s="63"/>
      <c r="J42" s="106"/>
      <c r="K42" s="114"/>
      <c r="L42" s="62"/>
      <c r="M42" s="115"/>
      <c r="N42" s="110"/>
      <c r="O42" s="63"/>
      <c r="P42" s="64"/>
      <c r="Q42" s="44"/>
      <c r="R42" s="46"/>
      <c r="S42" s="54"/>
      <c r="T42" s="139"/>
      <c r="U42" s="100" t="str">
        <f>IF(F42="","",VLOOKUP(F42,set!$C$5:$D$111,2,FALSE))</f>
        <v/>
      </c>
      <c r="V42" s="100" t="str">
        <f>IF(G42="","",VLOOKUP(G42,set!$G$5:$H$26,2,FALSE))</f>
        <v/>
      </c>
    </row>
    <row r="43" spans="3:22">
      <c r="C43" s="32">
        <f t="shared" si="2"/>
        <v>38</v>
      </c>
      <c r="D43" s="55"/>
      <c r="E43" s="52"/>
      <c r="F43" s="53"/>
      <c r="G43" s="43"/>
      <c r="H43" s="56"/>
      <c r="I43" s="63"/>
      <c r="J43" s="106"/>
      <c r="K43" s="114"/>
      <c r="L43" s="62"/>
      <c r="M43" s="115"/>
      <c r="N43" s="110"/>
      <c r="O43" s="63"/>
      <c r="P43" s="64"/>
      <c r="Q43" s="44"/>
      <c r="R43" s="46"/>
      <c r="S43" s="54"/>
      <c r="T43" s="139"/>
      <c r="U43" s="100" t="str">
        <f>IF(F43="","",VLOOKUP(F43,set!$C$5:$D$111,2,FALSE))</f>
        <v/>
      </c>
      <c r="V43" s="100" t="str">
        <f>IF(G43="","",VLOOKUP(G43,set!$G$5:$H$26,2,FALSE))</f>
        <v/>
      </c>
    </row>
    <row r="44" spans="3:22">
      <c r="C44" s="32">
        <f t="shared" si="2"/>
        <v>39</v>
      </c>
      <c r="D44" s="55"/>
      <c r="E44" s="52"/>
      <c r="F44" s="53"/>
      <c r="G44" s="43"/>
      <c r="H44" s="56"/>
      <c r="I44" s="63"/>
      <c r="J44" s="106"/>
      <c r="K44" s="114"/>
      <c r="L44" s="62"/>
      <c r="M44" s="115"/>
      <c r="N44" s="110"/>
      <c r="O44" s="63"/>
      <c r="P44" s="64"/>
      <c r="Q44" s="44"/>
      <c r="R44" s="46"/>
      <c r="S44" s="54"/>
      <c r="T44" s="139"/>
      <c r="U44" s="100" t="str">
        <f>IF(F44="","",VLOOKUP(F44,set!$C$5:$D$111,2,FALSE))</f>
        <v/>
      </c>
      <c r="V44" s="100" t="str">
        <f>IF(G44="","",VLOOKUP(G44,set!$G$5:$H$26,2,FALSE))</f>
        <v/>
      </c>
    </row>
    <row r="45" spans="3:22">
      <c r="C45" s="32">
        <f t="shared" si="2"/>
        <v>40</v>
      </c>
      <c r="D45" s="55"/>
      <c r="E45" s="52"/>
      <c r="F45" s="53"/>
      <c r="G45" s="43"/>
      <c r="H45" s="56"/>
      <c r="I45" s="63"/>
      <c r="J45" s="106"/>
      <c r="K45" s="114"/>
      <c r="L45" s="62"/>
      <c r="M45" s="115"/>
      <c r="N45" s="110"/>
      <c r="O45" s="63"/>
      <c r="P45" s="64"/>
      <c r="Q45" s="44"/>
      <c r="R45" s="46"/>
      <c r="S45" s="54"/>
      <c r="T45" s="139"/>
      <c r="U45" s="100" t="str">
        <f>IF(F45="","",VLOOKUP(F45,set!$C$5:$D$111,2,FALSE))</f>
        <v/>
      </c>
      <c r="V45" s="100" t="str">
        <f>IF(G45="","",VLOOKUP(G45,set!$G$5:$H$26,2,FALSE))</f>
        <v/>
      </c>
    </row>
    <row r="46" spans="3:22">
      <c r="C46" s="32">
        <f t="shared" si="2"/>
        <v>41</v>
      </c>
      <c r="D46" s="55"/>
      <c r="E46" s="52"/>
      <c r="F46" s="53"/>
      <c r="G46" s="43"/>
      <c r="H46" s="56"/>
      <c r="I46" s="63"/>
      <c r="J46" s="106"/>
      <c r="K46" s="114"/>
      <c r="L46" s="62"/>
      <c r="M46" s="115"/>
      <c r="N46" s="110"/>
      <c r="O46" s="63"/>
      <c r="P46" s="64"/>
      <c r="Q46" s="44"/>
      <c r="R46" s="46"/>
      <c r="S46" s="54"/>
      <c r="T46" s="139"/>
      <c r="U46" s="100" t="str">
        <f>IF(F46="","",VLOOKUP(F46,set!$C$5:$D$111,2,FALSE))</f>
        <v/>
      </c>
      <c r="V46" s="100" t="str">
        <f>IF(G46="","",VLOOKUP(G46,set!$G$5:$H$26,2,FALSE))</f>
        <v/>
      </c>
    </row>
    <row r="47" spans="3:22">
      <c r="C47" s="32">
        <f t="shared" si="2"/>
        <v>42</v>
      </c>
      <c r="D47" s="55"/>
      <c r="E47" s="52"/>
      <c r="F47" s="53"/>
      <c r="G47" s="43"/>
      <c r="H47" s="56"/>
      <c r="I47" s="63"/>
      <c r="J47" s="106"/>
      <c r="K47" s="114"/>
      <c r="L47" s="62"/>
      <c r="M47" s="115"/>
      <c r="N47" s="110"/>
      <c r="O47" s="63"/>
      <c r="P47" s="64"/>
      <c r="Q47" s="44"/>
      <c r="R47" s="46"/>
      <c r="S47" s="54"/>
      <c r="T47" s="139"/>
      <c r="U47" s="100" t="str">
        <f>IF(F47="","",VLOOKUP(F47,set!$C$5:$D$111,2,FALSE))</f>
        <v/>
      </c>
      <c r="V47" s="100" t="str">
        <f>IF(G47="","",VLOOKUP(G47,set!$G$5:$H$26,2,FALSE))</f>
        <v/>
      </c>
    </row>
    <row r="48" spans="3:22">
      <c r="C48" s="32">
        <f t="shared" si="2"/>
        <v>43</v>
      </c>
      <c r="D48" s="55"/>
      <c r="E48" s="52"/>
      <c r="F48" s="53"/>
      <c r="G48" s="43"/>
      <c r="H48" s="56"/>
      <c r="I48" s="63"/>
      <c r="J48" s="106"/>
      <c r="K48" s="114"/>
      <c r="L48" s="62"/>
      <c r="M48" s="115"/>
      <c r="N48" s="110"/>
      <c r="O48" s="63"/>
      <c r="P48" s="64"/>
      <c r="Q48" s="44"/>
      <c r="R48" s="46"/>
      <c r="S48" s="54"/>
      <c r="T48" s="139"/>
      <c r="U48" s="100" t="str">
        <f>IF(F48="","",VLOOKUP(F48,set!$C$5:$D$111,2,FALSE))</f>
        <v/>
      </c>
      <c r="V48" s="100" t="str">
        <f>IF(G48="","",VLOOKUP(G48,set!$G$5:$H$26,2,FALSE))</f>
        <v/>
      </c>
    </row>
    <row r="49" spans="3:22">
      <c r="C49" s="32">
        <f t="shared" si="2"/>
        <v>44</v>
      </c>
      <c r="D49" s="55"/>
      <c r="E49" s="52"/>
      <c r="F49" s="53"/>
      <c r="G49" s="43"/>
      <c r="H49" s="56"/>
      <c r="I49" s="63"/>
      <c r="J49" s="106"/>
      <c r="K49" s="114"/>
      <c r="L49" s="62"/>
      <c r="M49" s="115"/>
      <c r="N49" s="110"/>
      <c r="O49" s="63"/>
      <c r="P49" s="64"/>
      <c r="Q49" s="44"/>
      <c r="R49" s="46"/>
      <c r="S49" s="54"/>
      <c r="T49" s="139"/>
      <c r="U49" s="100" t="str">
        <f>IF(F49="","",VLOOKUP(F49,set!$C$5:$D$111,2,FALSE))</f>
        <v/>
      </c>
      <c r="V49" s="100" t="str">
        <f>IF(G49="","",VLOOKUP(G49,set!$G$5:$H$26,2,FALSE))</f>
        <v/>
      </c>
    </row>
    <row r="50" spans="3:22">
      <c r="C50" s="32">
        <f t="shared" si="2"/>
        <v>45</v>
      </c>
      <c r="D50" s="55"/>
      <c r="E50" s="52"/>
      <c r="F50" s="53"/>
      <c r="G50" s="43"/>
      <c r="H50" s="56"/>
      <c r="I50" s="63"/>
      <c r="J50" s="106"/>
      <c r="K50" s="114"/>
      <c r="L50" s="62"/>
      <c r="M50" s="115"/>
      <c r="N50" s="110"/>
      <c r="O50" s="63"/>
      <c r="P50" s="64"/>
      <c r="Q50" s="44"/>
      <c r="R50" s="46"/>
      <c r="S50" s="54"/>
      <c r="T50" s="139"/>
      <c r="U50" s="100" t="str">
        <f>IF(F50="","",VLOOKUP(F50,set!$C$5:$D$111,2,FALSE))</f>
        <v/>
      </c>
      <c r="V50" s="100" t="str">
        <f>IF(G50="","",VLOOKUP(G50,set!$G$5:$H$26,2,FALSE))</f>
        <v/>
      </c>
    </row>
    <row r="51" spans="3:22">
      <c r="C51" s="32">
        <f t="shared" si="2"/>
        <v>46</v>
      </c>
      <c r="D51" s="55"/>
      <c r="E51" s="52"/>
      <c r="F51" s="53"/>
      <c r="G51" s="43"/>
      <c r="H51" s="56"/>
      <c r="I51" s="63"/>
      <c r="J51" s="106"/>
      <c r="K51" s="114"/>
      <c r="L51" s="62"/>
      <c r="M51" s="115"/>
      <c r="N51" s="110"/>
      <c r="O51" s="63"/>
      <c r="P51" s="64"/>
      <c r="Q51" s="44"/>
      <c r="R51" s="46"/>
      <c r="S51" s="54"/>
      <c r="T51" s="139"/>
      <c r="U51" s="100" t="str">
        <f>IF(F51="","",VLOOKUP(F51,set!$C$5:$D$111,2,FALSE))</f>
        <v/>
      </c>
      <c r="V51" s="100" t="str">
        <f>IF(G51="","",VLOOKUP(G51,set!$G$5:$H$26,2,FALSE))</f>
        <v/>
      </c>
    </row>
    <row r="52" spans="3:22">
      <c r="C52" s="32">
        <f t="shared" si="2"/>
        <v>47</v>
      </c>
      <c r="D52" s="55"/>
      <c r="E52" s="52"/>
      <c r="F52" s="53"/>
      <c r="G52" s="43"/>
      <c r="H52" s="56"/>
      <c r="I52" s="63"/>
      <c r="J52" s="106"/>
      <c r="K52" s="114"/>
      <c r="L52" s="62"/>
      <c r="M52" s="115"/>
      <c r="N52" s="110"/>
      <c r="O52" s="63"/>
      <c r="P52" s="64"/>
      <c r="Q52" s="44"/>
      <c r="R52" s="46"/>
      <c r="S52" s="54"/>
      <c r="T52" s="139"/>
      <c r="U52" s="100" t="str">
        <f>IF(F52="","",VLOOKUP(F52,set!$C$5:$D$111,2,FALSE))</f>
        <v/>
      </c>
      <c r="V52" s="100" t="str">
        <f>IF(G52="","",VLOOKUP(G52,set!$G$5:$H$26,2,FALSE))</f>
        <v/>
      </c>
    </row>
    <row r="53" spans="3:22">
      <c r="C53" s="32">
        <f t="shared" si="2"/>
        <v>48</v>
      </c>
      <c r="D53" s="55"/>
      <c r="E53" s="52"/>
      <c r="F53" s="53"/>
      <c r="G53" s="43"/>
      <c r="H53" s="56"/>
      <c r="I53" s="63"/>
      <c r="J53" s="131"/>
      <c r="K53" s="114"/>
      <c r="L53" s="62"/>
      <c r="M53" s="115"/>
      <c r="N53" s="110"/>
      <c r="O53" s="63"/>
      <c r="P53" s="64"/>
      <c r="Q53" s="44"/>
      <c r="R53" s="46"/>
      <c r="S53" s="54"/>
      <c r="T53" s="139"/>
      <c r="U53" s="100" t="str">
        <f>IF(F53="","",VLOOKUP(F53,set!$C$5:$D$111,2,FALSE))</f>
        <v/>
      </c>
      <c r="V53" s="100" t="str">
        <f>IF(G53="","",VLOOKUP(G53,set!$G$5:$H$26,2,FALSE))</f>
        <v/>
      </c>
    </row>
    <row r="54" spans="3:22">
      <c r="C54" s="32">
        <f t="shared" si="2"/>
        <v>49</v>
      </c>
      <c r="D54" s="55"/>
      <c r="E54" s="52"/>
      <c r="F54" s="53"/>
      <c r="G54" s="43"/>
      <c r="H54" s="56"/>
      <c r="I54" s="63"/>
      <c r="J54" s="106"/>
      <c r="K54" s="114"/>
      <c r="L54" s="62"/>
      <c r="M54" s="115"/>
      <c r="N54" s="110"/>
      <c r="O54" s="63"/>
      <c r="P54" s="64"/>
      <c r="Q54" s="44"/>
      <c r="R54" s="46"/>
      <c r="S54" s="54"/>
      <c r="T54" s="139"/>
      <c r="U54" s="100" t="str">
        <f>IF(F54="","",VLOOKUP(F54,set!$C$5:$D$111,2,FALSE))</f>
        <v/>
      </c>
      <c r="V54" s="100" t="str">
        <f>IF(G54="","",VLOOKUP(G54,set!$G$5:$H$26,2,FALSE))</f>
        <v/>
      </c>
    </row>
    <row r="55" spans="3:22">
      <c r="C55" s="32">
        <f t="shared" si="2"/>
        <v>50</v>
      </c>
      <c r="D55" s="55"/>
      <c r="E55" s="52"/>
      <c r="F55" s="53"/>
      <c r="G55" s="43"/>
      <c r="H55" s="56"/>
      <c r="I55" s="63"/>
      <c r="J55" s="106"/>
      <c r="K55" s="114"/>
      <c r="L55" s="62"/>
      <c r="M55" s="115"/>
      <c r="N55" s="110"/>
      <c r="O55" s="63"/>
      <c r="P55" s="64"/>
      <c r="Q55" s="44"/>
      <c r="R55" s="46"/>
      <c r="S55" s="54"/>
      <c r="T55" s="139"/>
      <c r="U55" s="100" t="str">
        <f>IF(F55="","",VLOOKUP(F55,set!$C$5:$D$111,2,FALSE))</f>
        <v/>
      </c>
      <c r="V55" s="100" t="str">
        <f>IF(G55="","",VLOOKUP(G55,set!$G$5:$H$26,2,FALSE))</f>
        <v/>
      </c>
    </row>
    <row r="56" spans="3:22">
      <c r="C56" s="32">
        <f t="shared" si="2"/>
        <v>51</v>
      </c>
      <c r="D56" s="55"/>
      <c r="E56" s="52"/>
      <c r="F56" s="53"/>
      <c r="G56" s="43"/>
      <c r="H56" s="56"/>
      <c r="I56" s="63"/>
      <c r="J56" s="106"/>
      <c r="K56" s="114"/>
      <c r="L56" s="62"/>
      <c r="M56" s="115"/>
      <c r="N56" s="110"/>
      <c r="O56" s="63"/>
      <c r="P56" s="64"/>
      <c r="Q56" s="44"/>
      <c r="R56" s="46"/>
      <c r="S56" s="54"/>
      <c r="T56" s="139"/>
      <c r="U56" s="100" t="str">
        <f>IF(F56="","",VLOOKUP(F56,set!$C$5:$D$111,2,FALSE))</f>
        <v/>
      </c>
      <c r="V56" s="100" t="str">
        <f>IF(G56="","",VLOOKUP(G56,set!$G$5:$H$26,2,FALSE))</f>
        <v/>
      </c>
    </row>
    <row r="57" spans="3:22">
      <c r="C57" s="32">
        <f t="shared" si="2"/>
        <v>52</v>
      </c>
      <c r="D57" s="55"/>
      <c r="E57" s="52"/>
      <c r="F57" s="53"/>
      <c r="G57" s="43"/>
      <c r="H57" s="56"/>
      <c r="I57" s="63"/>
      <c r="J57" s="106"/>
      <c r="K57" s="114"/>
      <c r="L57" s="62"/>
      <c r="M57" s="115"/>
      <c r="N57" s="110"/>
      <c r="O57" s="63"/>
      <c r="P57" s="64"/>
      <c r="Q57" s="44"/>
      <c r="R57" s="46"/>
      <c r="S57" s="54"/>
      <c r="T57" s="139"/>
      <c r="U57" s="100" t="str">
        <f>IF(F57="","",VLOOKUP(F57,set!$C$5:$D$111,2,FALSE))</f>
        <v/>
      </c>
      <c r="V57" s="100" t="str">
        <f>IF(G57="","",VLOOKUP(G57,set!$G$5:$H$26,2,FALSE))</f>
        <v/>
      </c>
    </row>
    <row r="58" spans="3:22">
      <c r="C58" s="32">
        <f t="shared" si="2"/>
        <v>53</v>
      </c>
      <c r="D58" s="55"/>
      <c r="E58" s="52"/>
      <c r="F58" s="53"/>
      <c r="G58" s="43"/>
      <c r="H58" s="56"/>
      <c r="I58" s="63"/>
      <c r="J58" s="106"/>
      <c r="K58" s="114"/>
      <c r="L58" s="62"/>
      <c r="M58" s="115"/>
      <c r="N58" s="110"/>
      <c r="O58" s="63"/>
      <c r="P58" s="64"/>
      <c r="Q58" s="44"/>
      <c r="R58" s="46"/>
      <c r="S58" s="54"/>
      <c r="T58" s="139"/>
      <c r="U58" s="100" t="str">
        <f>IF(F58="","",VLOOKUP(F58,set!$C$5:$D$111,2,FALSE))</f>
        <v/>
      </c>
      <c r="V58" s="100" t="str">
        <f>IF(G58="","",VLOOKUP(G58,set!$G$5:$H$26,2,FALSE))</f>
        <v/>
      </c>
    </row>
    <row r="59" spans="3:22">
      <c r="C59" s="32">
        <f t="shared" si="2"/>
        <v>54</v>
      </c>
      <c r="D59" s="55"/>
      <c r="E59" s="52"/>
      <c r="F59" s="53"/>
      <c r="G59" s="43"/>
      <c r="H59" s="56"/>
      <c r="I59" s="63"/>
      <c r="J59" s="106"/>
      <c r="K59" s="114"/>
      <c r="L59" s="62"/>
      <c r="M59" s="115"/>
      <c r="N59" s="110"/>
      <c r="O59" s="63"/>
      <c r="P59" s="64"/>
      <c r="Q59" s="44"/>
      <c r="R59" s="46"/>
      <c r="S59" s="54"/>
      <c r="T59" s="139"/>
      <c r="U59" s="100" t="str">
        <f>IF(F59="","",VLOOKUP(F59,set!$C$5:$D$111,2,FALSE))</f>
        <v/>
      </c>
      <c r="V59" s="100" t="str">
        <f>IF(G59="","",VLOOKUP(G59,set!$G$5:$H$26,2,FALSE))</f>
        <v/>
      </c>
    </row>
    <row r="60" spans="3:22">
      <c r="C60" s="32">
        <f t="shared" si="2"/>
        <v>55</v>
      </c>
      <c r="D60" s="55"/>
      <c r="E60" s="52"/>
      <c r="F60" s="53"/>
      <c r="G60" s="43"/>
      <c r="H60" s="56"/>
      <c r="I60" s="63"/>
      <c r="J60" s="106"/>
      <c r="K60" s="114"/>
      <c r="L60" s="62"/>
      <c r="M60" s="115"/>
      <c r="N60" s="110"/>
      <c r="O60" s="63"/>
      <c r="P60" s="64"/>
      <c r="Q60" s="44"/>
      <c r="R60" s="46"/>
      <c r="S60" s="54"/>
      <c r="T60" s="139"/>
      <c r="U60" s="100" t="str">
        <f>IF(F60="","",VLOOKUP(F60,set!$C$5:$D$111,2,FALSE))</f>
        <v/>
      </c>
      <c r="V60" s="100" t="str">
        <f>IF(G60="","",VLOOKUP(G60,set!$G$5:$H$26,2,FALSE))</f>
        <v/>
      </c>
    </row>
    <row r="61" spans="3:22">
      <c r="C61" s="32">
        <f t="shared" si="2"/>
        <v>56</v>
      </c>
      <c r="D61" s="55"/>
      <c r="E61" s="52"/>
      <c r="F61" s="53"/>
      <c r="G61" s="43"/>
      <c r="H61" s="56"/>
      <c r="I61" s="63"/>
      <c r="J61" s="106"/>
      <c r="K61" s="114"/>
      <c r="L61" s="62"/>
      <c r="M61" s="115"/>
      <c r="N61" s="110"/>
      <c r="O61" s="63"/>
      <c r="P61" s="64"/>
      <c r="Q61" s="44"/>
      <c r="R61" s="46"/>
      <c r="S61" s="54"/>
      <c r="T61" s="139"/>
      <c r="U61" s="100" t="str">
        <f>IF(F61="","",VLOOKUP(F61,set!$C$5:$D$111,2,FALSE))</f>
        <v/>
      </c>
      <c r="V61" s="100" t="str">
        <f>IF(G61="","",VLOOKUP(G61,set!$G$5:$H$26,2,FALSE))</f>
        <v/>
      </c>
    </row>
    <row r="62" spans="3:22">
      <c r="C62" s="32">
        <f t="shared" si="2"/>
        <v>57</v>
      </c>
      <c r="D62" s="55"/>
      <c r="E62" s="52"/>
      <c r="F62" s="53"/>
      <c r="G62" s="43"/>
      <c r="H62" s="56"/>
      <c r="I62" s="63"/>
      <c r="J62" s="106"/>
      <c r="K62" s="114"/>
      <c r="L62" s="62"/>
      <c r="M62" s="115"/>
      <c r="N62" s="110"/>
      <c r="O62" s="63"/>
      <c r="P62" s="64"/>
      <c r="Q62" s="44"/>
      <c r="R62" s="46"/>
      <c r="S62" s="54"/>
      <c r="T62" s="139"/>
      <c r="U62" s="100" t="str">
        <f>IF(F62="","",VLOOKUP(F62,set!$C$5:$D$111,2,FALSE))</f>
        <v/>
      </c>
      <c r="V62" s="100" t="str">
        <f>IF(G62="","",VLOOKUP(G62,set!$G$5:$H$26,2,FALSE))</f>
        <v/>
      </c>
    </row>
    <row r="63" spans="3:22">
      <c r="C63" s="32">
        <f t="shared" si="2"/>
        <v>58</v>
      </c>
      <c r="D63" s="55"/>
      <c r="E63" s="52"/>
      <c r="F63" s="53"/>
      <c r="G63" s="43"/>
      <c r="H63" s="56"/>
      <c r="I63" s="63"/>
      <c r="J63" s="106"/>
      <c r="K63" s="114"/>
      <c r="L63" s="62"/>
      <c r="M63" s="115"/>
      <c r="N63" s="110"/>
      <c r="O63" s="63"/>
      <c r="P63" s="64"/>
      <c r="Q63" s="44"/>
      <c r="R63" s="46"/>
      <c r="S63" s="54"/>
      <c r="T63" s="139"/>
      <c r="U63" s="100" t="str">
        <f>IF(F63="","",VLOOKUP(F63,set!$C$5:$D$111,2,FALSE))</f>
        <v/>
      </c>
      <c r="V63" s="100" t="str">
        <f>IF(G63="","",VLOOKUP(G63,set!$G$5:$H$26,2,FALSE))</f>
        <v/>
      </c>
    </row>
    <row r="64" spans="3:22">
      <c r="C64" s="32">
        <f t="shared" si="2"/>
        <v>59</v>
      </c>
      <c r="D64" s="55"/>
      <c r="E64" s="52"/>
      <c r="F64" s="53"/>
      <c r="G64" s="43"/>
      <c r="H64" s="56"/>
      <c r="I64" s="63"/>
      <c r="J64" s="106"/>
      <c r="K64" s="114"/>
      <c r="L64" s="62"/>
      <c r="M64" s="115"/>
      <c r="N64" s="110"/>
      <c r="O64" s="63"/>
      <c r="P64" s="64"/>
      <c r="Q64" s="44"/>
      <c r="R64" s="46"/>
      <c r="S64" s="54"/>
      <c r="T64" s="139"/>
      <c r="U64" s="100" t="str">
        <f>IF(F64="","",VLOOKUP(F64,set!$C$5:$D$111,2,FALSE))</f>
        <v/>
      </c>
      <c r="V64" s="100" t="str">
        <f>IF(G64="","",VLOOKUP(G64,set!$G$5:$H$26,2,FALSE))</f>
        <v/>
      </c>
    </row>
    <row r="65" spans="3:22">
      <c r="C65" s="32">
        <f t="shared" si="2"/>
        <v>60</v>
      </c>
      <c r="D65" s="55"/>
      <c r="E65" s="52"/>
      <c r="F65" s="53"/>
      <c r="G65" s="43"/>
      <c r="H65" s="56"/>
      <c r="I65" s="63"/>
      <c r="J65" s="106"/>
      <c r="K65" s="114"/>
      <c r="L65" s="62"/>
      <c r="M65" s="115"/>
      <c r="N65" s="110"/>
      <c r="O65" s="63"/>
      <c r="P65" s="64"/>
      <c r="Q65" s="44"/>
      <c r="R65" s="46"/>
      <c r="S65" s="54"/>
      <c r="T65" s="139"/>
      <c r="U65" s="100" t="str">
        <f>IF(F65="","",VLOOKUP(F65,set!$C$5:$D$111,2,FALSE))</f>
        <v/>
      </c>
      <c r="V65" s="100" t="str">
        <f>IF(G65="","",VLOOKUP(G65,set!$G$5:$H$26,2,FALSE))</f>
        <v/>
      </c>
    </row>
    <row r="66" spans="3:22">
      <c r="C66" s="32">
        <f t="shared" ref="C66:C69" si="3">C65+1</f>
        <v>61</v>
      </c>
      <c r="D66" s="55"/>
      <c r="E66" s="52"/>
      <c r="F66" s="53"/>
      <c r="G66" s="43"/>
      <c r="H66" s="56"/>
      <c r="I66" s="63"/>
      <c r="J66" s="106"/>
      <c r="K66" s="114"/>
      <c r="L66" s="62"/>
      <c r="M66" s="115"/>
      <c r="N66" s="110"/>
      <c r="O66" s="63"/>
      <c r="P66" s="64"/>
      <c r="Q66" s="44"/>
      <c r="R66" s="46"/>
      <c r="S66" s="54"/>
      <c r="T66" s="139"/>
      <c r="U66" s="100" t="str">
        <f>IF(F66="","",VLOOKUP(F66,set!$C$5:$D$111,2,FALSE))</f>
        <v/>
      </c>
      <c r="V66" s="100" t="str">
        <f>IF(G66="","",VLOOKUP(G66,set!$G$5:$H$26,2,FALSE))</f>
        <v/>
      </c>
    </row>
    <row r="67" spans="3:22">
      <c r="C67" s="32">
        <f t="shared" si="3"/>
        <v>62</v>
      </c>
      <c r="D67" s="55"/>
      <c r="E67" s="52"/>
      <c r="F67" s="53"/>
      <c r="G67" s="43"/>
      <c r="H67" s="56"/>
      <c r="I67" s="63"/>
      <c r="J67" s="106"/>
      <c r="K67" s="114"/>
      <c r="L67" s="62"/>
      <c r="M67" s="115"/>
      <c r="N67" s="110"/>
      <c r="O67" s="63"/>
      <c r="P67" s="64"/>
      <c r="Q67" s="44"/>
      <c r="R67" s="46"/>
      <c r="S67" s="54"/>
      <c r="T67" s="139"/>
      <c r="U67" s="100" t="str">
        <f>IF(F67="","",VLOOKUP(F67,set!$C$5:$D$111,2,FALSE))</f>
        <v/>
      </c>
      <c r="V67" s="100" t="str">
        <f>IF(G67="","",VLOOKUP(G67,set!$G$5:$H$26,2,FALSE))</f>
        <v/>
      </c>
    </row>
    <row r="68" spans="3:22">
      <c r="C68" s="32">
        <f t="shared" si="3"/>
        <v>63</v>
      </c>
      <c r="D68" s="55"/>
      <c r="E68" s="52"/>
      <c r="F68" s="53"/>
      <c r="G68" s="43"/>
      <c r="H68" s="56"/>
      <c r="I68" s="63"/>
      <c r="J68" s="106"/>
      <c r="K68" s="114"/>
      <c r="L68" s="62"/>
      <c r="M68" s="115"/>
      <c r="N68" s="110"/>
      <c r="O68" s="63"/>
      <c r="P68" s="64"/>
      <c r="Q68" s="44"/>
      <c r="R68" s="46"/>
      <c r="S68" s="54"/>
      <c r="T68" s="139"/>
      <c r="U68" s="100" t="str">
        <f>IF(F68="","",VLOOKUP(F68,set!$C$5:$D$111,2,FALSE))</f>
        <v/>
      </c>
      <c r="V68" s="100" t="str">
        <f>IF(G68="","",VLOOKUP(G68,set!$G$5:$H$26,2,FALSE))</f>
        <v/>
      </c>
    </row>
    <row r="69" spans="3:22" ht="19.5" thickBot="1">
      <c r="C69" s="32">
        <f t="shared" si="3"/>
        <v>64</v>
      </c>
      <c r="D69" s="71"/>
      <c r="E69" s="72"/>
      <c r="F69" s="73"/>
      <c r="G69" s="74"/>
      <c r="H69" s="75"/>
      <c r="I69" s="77"/>
      <c r="J69" s="108"/>
      <c r="K69" s="118"/>
      <c r="L69" s="77"/>
      <c r="M69" s="119"/>
      <c r="N69" s="112"/>
      <c r="O69" s="76"/>
      <c r="P69" s="78"/>
      <c r="Q69" s="79"/>
      <c r="R69" s="80"/>
      <c r="S69" s="81"/>
      <c r="T69" s="139"/>
      <c r="U69" s="100" t="str">
        <f>IF(F69="","",VLOOKUP(F69,set!$C$5:$D$111,2,FALSE))</f>
        <v/>
      </c>
      <c r="V69" s="100" t="str">
        <f>IF(G69="","",VLOOKUP(G69,set!$G$5:$H$26,2,FALSE))</f>
        <v/>
      </c>
    </row>
    <row r="70" spans="3:22">
      <c r="D70" s="42"/>
      <c r="E70" s="66"/>
      <c r="F70" s="67"/>
      <c r="G70" s="67"/>
      <c r="H70" s="68"/>
      <c r="I70" s="70"/>
      <c r="J70" s="69"/>
      <c r="K70" s="68"/>
      <c r="L70" s="70"/>
      <c r="M70" s="69"/>
      <c r="N70" s="68"/>
      <c r="O70" s="69"/>
      <c r="P70" s="69"/>
      <c r="Q70" s="41"/>
      <c r="R70" s="46"/>
      <c r="S70" s="67"/>
      <c r="T70" s="140"/>
    </row>
    <row r="71" spans="3:22">
      <c r="D71" s="42"/>
      <c r="E71" s="66"/>
      <c r="F71" s="67"/>
      <c r="G71" s="67"/>
      <c r="H71" s="68"/>
      <c r="I71" s="69"/>
      <c r="J71" s="69"/>
      <c r="K71" s="68"/>
      <c r="L71" s="70"/>
      <c r="M71" s="69"/>
      <c r="N71" s="68"/>
      <c r="O71" s="69"/>
      <c r="P71" s="69"/>
      <c r="Q71" s="41"/>
      <c r="R71" s="46"/>
      <c r="S71" s="67"/>
      <c r="T71" s="140"/>
    </row>
    <row r="72" spans="3:22">
      <c r="D72" s="42"/>
      <c r="E72" s="66"/>
      <c r="F72" s="67"/>
      <c r="G72" s="67"/>
      <c r="H72" s="68"/>
      <c r="I72" s="69"/>
      <c r="J72" s="69"/>
      <c r="K72" s="68"/>
      <c r="L72" s="70"/>
      <c r="M72" s="69"/>
      <c r="N72" s="68"/>
      <c r="O72" s="69"/>
      <c r="P72" s="69"/>
      <c r="Q72" s="41"/>
      <c r="R72" s="46"/>
      <c r="S72" s="67"/>
      <c r="T72" s="140"/>
    </row>
    <row r="73" spans="3:22">
      <c r="D73" s="42"/>
      <c r="E73" s="66"/>
      <c r="F73" s="67"/>
      <c r="G73" s="67"/>
      <c r="H73" s="68"/>
      <c r="I73" s="69"/>
      <c r="J73" s="69"/>
      <c r="K73" s="68"/>
      <c r="L73" s="70"/>
      <c r="M73" s="69"/>
      <c r="N73" s="68"/>
      <c r="O73" s="69"/>
      <c r="P73" s="69"/>
      <c r="Q73" s="41"/>
      <c r="R73" s="46"/>
      <c r="S73" s="67"/>
      <c r="T73" s="140"/>
    </row>
    <row r="74" spans="3:22">
      <c r="D74" s="42"/>
      <c r="E74" s="66"/>
      <c r="F74" s="67"/>
      <c r="G74" s="67"/>
      <c r="H74" s="68"/>
      <c r="I74" s="69"/>
      <c r="J74" s="69"/>
      <c r="K74" s="68"/>
      <c r="L74" s="70"/>
      <c r="M74" s="69"/>
      <c r="N74" s="68"/>
      <c r="O74" s="69"/>
      <c r="P74" s="69"/>
      <c r="Q74" s="41"/>
      <c r="R74" s="46"/>
      <c r="S74" s="67"/>
      <c r="T74" s="140"/>
    </row>
    <row r="75" spans="3:22">
      <c r="D75" s="42"/>
      <c r="E75" s="66"/>
      <c r="F75" s="67"/>
      <c r="G75" s="67"/>
      <c r="H75" s="68"/>
      <c r="I75" s="69"/>
      <c r="J75" s="69"/>
      <c r="K75" s="68"/>
      <c r="L75" s="70"/>
      <c r="M75" s="69"/>
      <c r="N75" s="68"/>
      <c r="O75" s="69"/>
      <c r="P75" s="69"/>
      <c r="Q75" s="41"/>
      <c r="R75" s="46"/>
      <c r="S75" s="67"/>
      <c r="T75" s="140"/>
    </row>
    <row r="76" spans="3:22">
      <c r="D76" s="42"/>
      <c r="E76" s="66"/>
      <c r="F76" s="67"/>
      <c r="G76" s="67"/>
      <c r="H76" s="68"/>
      <c r="I76" s="69"/>
      <c r="J76" s="69"/>
      <c r="K76" s="68"/>
      <c r="L76" s="70"/>
      <c r="M76" s="69"/>
      <c r="N76" s="68"/>
      <c r="O76" s="69"/>
      <c r="P76" s="69"/>
      <c r="Q76" s="41"/>
      <c r="R76" s="46"/>
      <c r="S76" s="67"/>
      <c r="T76" s="140"/>
    </row>
    <row r="77" spans="3:22">
      <c r="D77" s="42"/>
      <c r="E77" s="66"/>
      <c r="F77" s="67"/>
      <c r="G77" s="67"/>
      <c r="H77" s="68"/>
      <c r="I77" s="69"/>
      <c r="J77" s="69"/>
      <c r="K77" s="68"/>
      <c r="L77" s="70"/>
      <c r="M77" s="69"/>
      <c r="N77" s="68"/>
      <c r="O77" s="69"/>
      <c r="P77" s="69"/>
      <c r="Q77" s="41"/>
      <c r="R77" s="46"/>
      <c r="S77" s="67"/>
      <c r="T77" s="140"/>
    </row>
    <row r="78" spans="3:22">
      <c r="D78" s="42"/>
      <c r="E78" s="66"/>
      <c r="F78" s="67"/>
      <c r="G78" s="67"/>
      <c r="H78" s="68"/>
      <c r="I78" s="69"/>
      <c r="J78" s="69"/>
      <c r="K78" s="68"/>
      <c r="L78" s="70"/>
      <c r="M78" s="69"/>
      <c r="N78" s="68"/>
      <c r="O78" s="69"/>
      <c r="P78" s="69"/>
      <c r="Q78" s="41"/>
      <c r="R78" s="46"/>
      <c r="S78" s="67"/>
      <c r="T78" s="140"/>
    </row>
    <row r="79" spans="3:22">
      <c r="D79" s="42"/>
      <c r="E79" s="66"/>
      <c r="F79" s="67"/>
      <c r="G79" s="67"/>
      <c r="H79" s="68"/>
      <c r="I79" s="69"/>
      <c r="J79" s="69"/>
      <c r="K79" s="68"/>
      <c r="L79" s="70"/>
      <c r="M79" s="69"/>
      <c r="N79" s="68"/>
      <c r="O79" s="69"/>
      <c r="P79" s="69"/>
      <c r="Q79" s="41"/>
      <c r="R79" s="46"/>
      <c r="S79" s="67"/>
      <c r="T79" s="140"/>
    </row>
    <row r="80" spans="3:22">
      <c r="D80" s="42"/>
      <c r="E80" s="66"/>
      <c r="F80" s="67"/>
      <c r="G80" s="67"/>
      <c r="H80" s="68"/>
      <c r="I80" s="69"/>
      <c r="J80" s="69"/>
      <c r="K80" s="68"/>
      <c r="L80" s="70"/>
      <c r="M80" s="69"/>
      <c r="N80" s="68"/>
      <c r="O80" s="69"/>
      <c r="P80" s="69"/>
      <c r="Q80" s="41"/>
      <c r="R80" s="46"/>
      <c r="S80" s="67"/>
      <c r="T80" s="140"/>
    </row>
    <row r="81" spans="4:20">
      <c r="D81" s="42"/>
      <c r="E81" s="66"/>
      <c r="F81" s="67"/>
      <c r="G81" s="67"/>
      <c r="H81" s="68"/>
      <c r="I81" s="69"/>
      <c r="J81" s="69"/>
      <c r="K81" s="68"/>
      <c r="L81" s="70"/>
      <c r="M81" s="69"/>
      <c r="N81" s="68"/>
      <c r="O81" s="69"/>
      <c r="P81" s="69"/>
      <c r="Q81" s="41"/>
      <c r="R81" s="46"/>
      <c r="S81" s="67"/>
      <c r="T81" s="140"/>
    </row>
    <row r="82" spans="4:20">
      <c r="D82" s="42"/>
      <c r="E82" s="66"/>
      <c r="F82" s="67"/>
      <c r="G82" s="67"/>
      <c r="H82" s="68"/>
      <c r="I82" s="69"/>
      <c r="J82" s="69"/>
      <c r="K82" s="68"/>
      <c r="L82" s="70"/>
      <c r="M82" s="69"/>
      <c r="N82" s="68"/>
      <c r="O82" s="69"/>
      <c r="P82" s="69"/>
      <c r="Q82" s="41"/>
      <c r="R82" s="46"/>
      <c r="S82" s="67"/>
      <c r="T82" s="140"/>
    </row>
    <row r="83" spans="4:20">
      <c r="D83" s="42"/>
      <c r="E83" s="66"/>
      <c r="F83" s="67"/>
      <c r="G83" s="67"/>
      <c r="H83" s="68"/>
      <c r="I83" s="69"/>
      <c r="J83" s="69"/>
      <c r="K83" s="68"/>
      <c r="L83" s="70"/>
      <c r="M83" s="69"/>
      <c r="N83" s="68"/>
      <c r="O83" s="69"/>
      <c r="P83" s="69"/>
      <c r="Q83" s="41"/>
      <c r="R83" s="46"/>
      <c r="S83" s="67"/>
      <c r="T83" s="140"/>
    </row>
    <row r="84" spans="4:20">
      <c r="D84" s="42"/>
      <c r="E84" s="66"/>
      <c r="F84" s="67"/>
      <c r="G84" s="67"/>
      <c r="H84" s="68"/>
      <c r="I84" s="69"/>
      <c r="J84" s="69"/>
      <c r="K84" s="68"/>
      <c r="L84" s="70"/>
      <c r="M84" s="69"/>
      <c r="N84" s="68"/>
      <c r="O84" s="69"/>
      <c r="P84" s="69"/>
      <c r="Q84" s="41"/>
      <c r="R84" s="46"/>
      <c r="S84" s="67"/>
      <c r="T84" s="140"/>
    </row>
    <row r="85" spans="4:20">
      <c r="D85" s="42"/>
      <c r="E85" s="66"/>
      <c r="F85" s="67"/>
      <c r="G85" s="67"/>
      <c r="H85" s="68"/>
      <c r="I85" s="69"/>
      <c r="J85" s="69"/>
      <c r="K85" s="68"/>
      <c r="L85" s="70"/>
      <c r="M85" s="69"/>
      <c r="N85" s="68"/>
      <c r="O85" s="69"/>
      <c r="P85" s="69"/>
      <c r="Q85" s="41"/>
      <c r="R85" s="46"/>
      <c r="S85" s="67"/>
      <c r="T85" s="140"/>
    </row>
    <row r="86" spans="4:20">
      <c r="D86" s="42"/>
      <c r="E86" s="66"/>
      <c r="F86" s="67"/>
      <c r="G86" s="67"/>
      <c r="H86" s="68"/>
      <c r="I86" s="69"/>
      <c r="J86" s="69"/>
      <c r="K86" s="68"/>
      <c r="L86" s="70"/>
      <c r="M86" s="69"/>
      <c r="N86" s="68"/>
      <c r="O86" s="69"/>
      <c r="P86" s="69"/>
      <c r="Q86" s="41"/>
      <c r="R86" s="46"/>
      <c r="S86" s="67"/>
      <c r="T86" s="140"/>
    </row>
    <row r="87" spans="4:20">
      <c r="D87" s="42"/>
      <c r="E87" s="66"/>
      <c r="F87" s="67"/>
      <c r="G87" s="67"/>
      <c r="H87" s="68"/>
      <c r="I87" s="69"/>
      <c r="J87" s="69"/>
      <c r="K87" s="68"/>
      <c r="L87" s="70"/>
      <c r="M87" s="69"/>
      <c r="N87" s="68"/>
      <c r="O87" s="69"/>
      <c r="P87" s="69"/>
      <c r="Q87" s="41"/>
      <c r="R87" s="46"/>
      <c r="S87" s="67"/>
      <c r="T87" s="140"/>
    </row>
    <row r="88" spans="4:20">
      <c r="D88" s="42"/>
      <c r="E88" s="66"/>
      <c r="F88" s="67"/>
      <c r="G88" s="67"/>
      <c r="H88" s="68"/>
      <c r="I88" s="69"/>
      <c r="J88" s="69"/>
      <c r="K88" s="68"/>
      <c r="L88" s="70"/>
      <c r="M88" s="69"/>
      <c r="N88" s="68"/>
      <c r="O88" s="69"/>
      <c r="P88" s="69"/>
      <c r="Q88" s="41"/>
      <c r="R88" s="46"/>
      <c r="S88" s="67"/>
      <c r="T88" s="140"/>
    </row>
    <row r="89" spans="4:20">
      <c r="D89" s="42"/>
      <c r="E89" s="66"/>
      <c r="F89" s="67"/>
      <c r="G89" s="67"/>
      <c r="H89" s="68"/>
      <c r="I89" s="69"/>
      <c r="J89" s="69"/>
      <c r="K89" s="68"/>
      <c r="L89" s="70"/>
      <c r="M89" s="69"/>
      <c r="N89" s="68"/>
      <c r="O89" s="69"/>
      <c r="P89" s="69"/>
      <c r="Q89" s="41"/>
      <c r="R89" s="46"/>
      <c r="S89" s="67"/>
      <c r="T89" s="140"/>
    </row>
    <row r="90" spans="4:20">
      <c r="D90" s="42"/>
      <c r="E90" s="66"/>
      <c r="F90" s="67"/>
      <c r="G90" s="67"/>
      <c r="H90" s="68"/>
      <c r="I90" s="69"/>
      <c r="J90" s="69"/>
      <c r="K90" s="68"/>
      <c r="L90" s="70"/>
      <c r="M90" s="69"/>
      <c r="N90" s="68"/>
      <c r="O90" s="69"/>
      <c r="P90" s="69"/>
      <c r="Q90" s="41"/>
      <c r="R90" s="46"/>
      <c r="S90" s="67"/>
      <c r="T90" s="140"/>
    </row>
    <row r="91" spans="4:20">
      <c r="D91" s="42"/>
      <c r="E91" s="66"/>
      <c r="F91" s="67"/>
      <c r="G91" s="67"/>
      <c r="H91" s="68"/>
      <c r="I91" s="69"/>
      <c r="J91" s="69"/>
      <c r="K91" s="68"/>
      <c r="L91" s="70"/>
      <c r="M91" s="69"/>
      <c r="N91" s="68"/>
      <c r="O91" s="69"/>
      <c r="P91" s="69"/>
      <c r="Q91" s="41"/>
      <c r="R91" s="46"/>
      <c r="S91" s="67"/>
      <c r="T91" s="140"/>
    </row>
    <row r="92" spans="4:20">
      <c r="D92" s="42"/>
      <c r="E92" s="66"/>
      <c r="F92" s="67"/>
      <c r="G92" s="67"/>
      <c r="H92" s="68"/>
      <c r="I92" s="69"/>
      <c r="J92" s="69"/>
      <c r="K92" s="68"/>
      <c r="L92" s="70"/>
      <c r="M92" s="69"/>
      <c r="N92" s="68"/>
      <c r="O92" s="69"/>
      <c r="P92" s="69"/>
      <c r="Q92" s="41"/>
      <c r="R92" s="46"/>
      <c r="S92" s="67"/>
      <c r="T92" s="140"/>
    </row>
    <row r="93" spans="4:20">
      <c r="D93" s="42"/>
      <c r="E93" s="66"/>
      <c r="F93" s="67"/>
      <c r="G93" s="67"/>
      <c r="H93" s="68"/>
      <c r="I93" s="69"/>
      <c r="J93" s="69"/>
      <c r="K93" s="68"/>
      <c r="L93" s="70"/>
      <c r="M93" s="69"/>
      <c r="N93" s="68"/>
      <c r="O93" s="69"/>
      <c r="P93" s="69"/>
      <c r="Q93" s="41"/>
      <c r="R93" s="46"/>
      <c r="S93" s="67"/>
      <c r="T93" s="140"/>
    </row>
    <row r="94" spans="4:20">
      <c r="D94" s="42"/>
      <c r="E94" s="66"/>
      <c r="F94" s="67"/>
      <c r="G94" s="67"/>
      <c r="H94" s="68"/>
      <c r="I94" s="69"/>
      <c r="J94" s="69"/>
      <c r="K94" s="68"/>
      <c r="L94" s="70"/>
      <c r="M94" s="69"/>
      <c r="N94" s="68"/>
      <c r="O94" s="69"/>
      <c r="P94" s="69"/>
      <c r="Q94" s="41"/>
      <c r="R94" s="46"/>
      <c r="S94" s="67"/>
      <c r="T94" s="140"/>
    </row>
    <row r="95" spans="4:20">
      <c r="D95" s="42"/>
      <c r="E95" s="66"/>
      <c r="F95" s="67"/>
      <c r="G95" s="67"/>
      <c r="H95" s="68"/>
      <c r="I95" s="69"/>
      <c r="J95" s="69"/>
      <c r="K95" s="68"/>
      <c r="L95" s="70"/>
      <c r="M95" s="69"/>
      <c r="N95" s="68"/>
      <c r="O95" s="69"/>
      <c r="P95" s="69"/>
      <c r="Q95" s="41"/>
      <c r="R95" s="46"/>
      <c r="S95" s="67"/>
      <c r="T95" s="140"/>
    </row>
    <row r="96" spans="4:20">
      <c r="D96" s="42"/>
      <c r="E96" s="66"/>
      <c r="F96" s="67"/>
      <c r="G96" s="67"/>
      <c r="H96" s="68"/>
      <c r="I96" s="69"/>
      <c r="J96" s="69"/>
      <c r="K96" s="68"/>
      <c r="L96" s="70"/>
      <c r="M96" s="69"/>
      <c r="N96" s="68"/>
      <c r="O96" s="69"/>
      <c r="P96" s="69"/>
      <c r="Q96" s="41"/>
      <c r="R96" s="46"/>
      <c r="S96" s="67"/>
      <c r="T96" s="140"/>
    </row>
    <row r="97" spans="4:20">
      <c r="D97" s="42"/>
      <c r="E97" s="66"/>
      <c r="F97" s="67"/>
      <c r="G97" s="67"/>
      <c r="H97" s="68"/>
      <c r="I97" s="69"/>
      <c r="J97" s="69"/>
      <c r="K97" s="68"/>
      <c r="L97" s="70"/>
      <c r="M97" s="69"/>
      <c r="N97" s="68"/>
      <c r="O97" s="69"/>
      <c r="P97" s="69"/>
      <c r="Q97" s="41"/>
      <c r="R97" s="46"/>
      <c r="S97" s="67"/>
      <c r="T97" s="140"/>
    </row>
    <row r="98" spans="4:20">
      <c r="D98" s="42"/>
      <c r="E98" s="66"/>
      <c r="F98" s="67"/>
      <c r="G98" s="67"/>
      <c r="H98" s="68"/>
      <c r="I98" s="69"/>
      <c r="J98" s="69"/>
      <c r="K98" s="68"/>
      <c r="L98" s="70"/>
      <c r="M98" s="69"/>
      <c r="N98" s="68"/>
      <c r="O98" s="69"/>
      <c r="P98" s="69"/>
      <c r="Q98" s="41"/>
      <c r="R98" s="46"/>
      <c r="S98" s="67"/>
      <c r="T98" s="140"/>
    </row>
    <row r="99" spans="4:20">
      <c r="D99" s="42"/>
      <c r="E99" s="66"/>
      <c r="F99" s="67"/>
      <c r="G99" s="67"/>
      <c r="H99" s="68"/>
      <c r="I99" s="69"/>
      <c r="J99" s="69"/>
      <c r="K99" s="68"/>
      <c r="L99" s="70"/>
      <c r="M99" s="69"/>
      <c r="N99" s="68"/>
      <c r="O99" s="69"/>
      <c r="P99" s="69"/>
      <c r="Q99" s="41"/>
      <c r="R99" s="46"/>
      <c r="S99" s="67"/>
      <c r="T99" s="140"/>
    </row>
    <row r="100" spans="4:20">
      <c r="D100" s="42"/>
      <c r="E100" s="66"/>
      <c r="F100" s="67"/>
      <c r="G100" s="67"/>
      <c r="H100" s="68"/>
      <c r="I100" s="69"/>
      <c r="J100" s="69"/>
      <c r="K100" s="68"/>
      <c r="L100" s="70"/>
      <c r="M100" s="69"/>
      <c r="N100" s="68"/>
      <c r="O100" s="69"/>
      <c r="P100" s="69"/>
      <c r="Q100" s="41"/>
      <c r="R100" s="46"/>
      <c r="S100" s="67"/>
      <c r="T100" s="140"/>
    </row>
    <row r="101" spans="4:20">
      <c r="D101" s="42"/>
      <c r="E101" s="66"/>
      <c r="F101" s="67"/>
      <c r="G101" s="67"/>
      <c r="H101" s="68"/>
      <c r="I101" s="69"/>
      <c r="J101" s="69"/>
      <c r="K101" s="68"/>
      <c r="L101" s="70"/>
      <c r="M101" s="69"/>
      <c r="N101" s="68"/>
      <c r="O101" s="69"/>
      <c r="P101" s="69"/>
      <c r="Q101" s="41"/>
      <c r="R101" s="46"/>
      <c r="S101" s="67"/>
      <c r="T101" s="140"/>
    </row>
    <row r="102" spans="4:20">
      <c r="D102" s="42"/>
      <c r="E102" s="66"/>
      <c r="F102" s="67"/>
      <c r="G102" s="67"/>
      <c r="H102" s="68"/>
      <c r="I102" s="69"/>
      <c r="J102" s="69"/>
      <c r="K102" s="68"/>
      <c r="L102" s="70"/>
      <c r="M102" s="69"/>
      <c r="N102" s="68"/>
      <c r="O102" s="69"/>
      <c r="P102" s="69"/>
      <c r="Q102" s="41"/>
      <c r="R102" s="46"/>
      <c r="S102" s="67"/>
      <c r="T102" s="140"/>
    </row>
    <row r="103" spans="4:20">
      <c r="D103" s="42"/>
      <c r="E103" s="66"/>
      <c r="F103" s="67"/>
      <c r="G103" s="67"/>
      <c r="H103" s="68"/>
      <c r="I103" s="69"/>
      <c r="J103" s="69"/>
      <c r="K103" s="68"/>
      <c r="L103" s="70"/>
      <c r="M103" s="69"/>
      <c r="N103" s="68"/>
      <c r="O103" s="69"/>
      <c r="P103" s="69"/>
      <c r="Q103" s="41"/>
      <c r="R103" s="46"/>
      <c r="S103" s="67"/>
      <c r="T103" s="140"/>
    </row>
    <row r="104" spans="4:20">
      <c r="D104" s="42"/>
      <c r="E104" s="66"/>
      <c r="F104" s="67"/>
      <c r="G104" s="67"/>
      <c r="H104" s="68"/>
      <c r="I104" s="69"/>
      <c r="J104" s="69"/>
      <c r="K104" s="68"/>
      <c r="L104" s="70"/>
      <c r="M104" s="69"/>
      <c r="N104" s="68"/>
      <c r="O104" s="69"/>
      <c r="P104" s="69"/>
      <c r="Q104" s="41"/>
      <c r="R104" s="46"/>
      <c r="S104" s="67"/>
      <c r="T104" s="140"/>
    </row>
    <row r="105" spans="4:20">
      <c r="D105" s="42"/>
      <c r="E105" s="66"/>
      <c r="F105" s="67"/>
      <c r="G105" s="67"/>
      <c r="H105" s="68"/>
      <c r="I105" s="69"/>
      <c r="J105" s="69"/>
      <c r="K105" s="68"/>
      <c r="L105" s="70"/>
      <c r="M105" s="69"/>
      <c r="N105" s="68"/>
      <c r="O105" s="69"/>
      <c r="P105" s="69"/>
      <c r="Q105" s="41"/>
      <c r="R105" s="46"/>
      <c r="S105" s="67"/>
      <c r="T105" s="140"/>
    </row>
    <row r="106" spans="4:20">
      <c r="D106" s="42"/>
      <c r="E106" s="66"/>
      <c r="F106" s="67"/>
      <c r="G106" s="67"/>
      <c r="H106" s="68"/>
      <c r="I106" s="69"/>
      <c r="J106" s="69"/>
      <c r="K106" s="68"/>
      <c r="L106" s="70"/>
      <c r="M106" s="69"/>
      <c r="N106" s="68"/>
      <c r="O106" s="69"/>
      <c r="P106" s="69"/>
      <c r="Q106" s="41"/>
      <c r="R106" s="46"/>
      <c r="S106" s="67"/>
      <c r="T106" s="141"/>
    </row>
    <row r="107" spans="4:20">
      <c r="D107" s="42"/>
      <c r="E107" s="66"/>
      <c r="F107" s="67"/>
      <c r="G107" s="67"/>
      <c r="H107" s="68"/>
      <c r="I107" s="69"/>
      <c r="J107" s="69"/>
      <c r="K107" s="68"/>
      <c r="L107" s="70"/>
      <c r="M107" s="69"/>
      <c r="N107" s="68"/>
      <c r="O107" s="69"/>
      <c r="P107" s="69"/>
      <c r="Q107" s="41"/>
      <c r="R107" s="46"/>
      <c r="S107" s="67"/>
      <c r="T107" s="141"/>
    </row>
    <row r="108" spans="4:20">
      <c r="D108" s="42"/>
      <c r="E108" s="66"/>
      <c r="F108" s="67"/>
      <c r="G108" s="67"/>
      <c r="H108" s="68"/>
      <c r="I108" s="69"/>
      <c r="J108" s="69"/>
      <c r="K108" s="68"/>
      <c r="L108" s="70"/>
      <c r="M108" s="69"/>
      <c r="N108" s="68"/>
      <c r="O108" s="69"/>
      <c r="P108" s="69"/>
      <c r="Q108" s="41"/>
      <c r="R108" s="46"/>
      <c r="S108" s="67"/>
      <c r="T108" s="141"/>
    </row>
    <row r="109" spans="4:20">
      <c r="D109" s="42"/>
      <c r="E109" s="66"/>
      <c r="F109" s="67"/>
      <c r="G109" s="67"/>
      <c r="H109" s="68"/>
      <c r="I109" s="69"/>
      <c r="J109" s="69"/>
      <c r="K109" s="68"/>
      <c r="L109" s="70"/>
      <c r="M109" s="69"/>
      <c r="N109" s="68"/>
      <c r="O109" s="69"/>
      <c r="P109" s="69"/>
      <c r="Q109" s="41"/>
      <c r="R109" s="46"/>
      <c r="S109" s="67"/>
      <c r="T109" s="141"/>
    </row>
    <row r="110" spans="4:20">
      <c r="D110" s="42"/>
      <c r="E110" s="66"/>
      <c r="F110" s="67"/>
      <c r="G110" s="67"/>
      <c r="H110" s="68"/>
      <c r="I110" s="69"/>
      <c r="J110" s="69"/>
      <c r="K110" s="68"/>
      <c r="L110" s="70"/>
      <c r="M110" s="69"/>
      <c r="N110" s="68"/>
      <c r="O110" s="69"/>
      <c r="P110" s="69"/>
      <c r="Q110" s="41"/>
      <c r="R110" s="46"/>
      <c r="S110" s="67"/>
      <c r="T110" s="141"/>
    </row>
    <row r="111" spans="4:20">
      <c r="D111" s="42"/>
      <c r="E111" s="66"/>
      <c r="F111" s="67"/>
      <c r="G111" s="67"/>
      <c r="H111" s="68"/>
      <c r="I111" s="69"/>
      <c r="J111" s="69"/>
      <c r="K111" s="68"/>
      <c r="L111" s="70"/>
      <c r="M111" s="69"/>
      <c r="N111" s="68"/>
      <c r="O111" s="69"/>
      <c r="P111" s="69"/>
      <c r="Q111" s="41"/>
      <c r="R111" s="46"/>
      <c r="S111" s="67"/>
      <c r="T111" s="141"/>
    </row>
    <row r="112" spans="4:20">
      <c r="D112" s="42"/>
      <c r="E112" s="66"/>
      <c r="F112" s="67"/>
      <c r="G112" s="67"/>
      <c r="H112" s="68"/>
      <c r="I112" s="69"/>
      <c r="J112" s="69"/>
      <c r="K112" s="68"/>
      <c r="L112" s="70"/>
      <c r="M112" s="69"/>
      <c r="N112" s="68"/>
      <c r="O112" s="69"/>
      <c r="P112" s="69"/>
      <c r="Q112" s="41"/>
      <c r="R112" s="46"/>
      <c r="S112" s="67"/>
      <c r="T112" s="141"/>
    </row>
    <row r="113" spans="4:20">
      <c r="D113" s="42"/>
      <c r="E113" s="66"/>
      <c r="F113" s="67"/>
      <c r="G113" s="67"/>
      <c r="H113" s="68"/>
      <c r="I113" s="69"/>
      <c r="J113" s="69"/>
      <c r="K113" s="68"/>
      <c r="L113" s="70"/>
      <c r="M113" s="69"/>
      <c r="N113" s="68"/>
      <c r="O113" s="69"/>
      <c r="P113" s="69"/>
      <c r="Q113" s="41"/>
      <c r="R113" s="46"/>
      <c r="S113" s="67"/>
      <c r="T113" s="141"/>
    </row>
    <row r="114" spans="4:20">
      <c r="D114" s="42"/>
      <c r="E114" s="66"/>
      <c r="F114" s="67"/>
      <c r="G114" s="67"/>
      <c r="H114" s="68"/>
      <c r="I114" s="69"/>
      <c r="J114" s="69"/>
      <c r="K114" s="68"/>
      <c r="L114" s="70"/>
      <c r="M114" s="69"/>
      <c r="N114" s="68"/>
      <c r="O114" s="69"/>
      <c r="P114" s="69"/>
      <c r="Q114" s="41"/>
      <c r="R114" s="46"/>
      <c r="S114" s="67"/>
      <c r="T114" s="141"/>
    </row>
    <row r="115" spans="4:20">
      <c r="D115" s="42"/>
      <c r="E115" s="66"/>
      <c r="F115" s="67"/>
      <c r="G115" s="67"/>
      <c r="H115" s="68"/>
      <c r="I115" s="69"/>
      <c r="J115" s="69"/>
      <c r="K115" s="68"/>
      <c r="L115" s="70"/>
      <c r="M115" s="69"/>
      <c r="N115" s="68"/>
      <c r="O115" s="69"/>
      <c r="P115" s="69"/>
      <c r="Q115" s="41"/>
      <c r="R115" s="46"/>
      <c r="S115" s="67"/>
      <c r="T115" s="141"/>
    </row>
    <row r="116" spans="4:20">
      <c r="D116" s="42"/>
      <c r="E116" s="66"/>
      <c r="F116" s="67"/>
      <c r="G116" s="67"/>
      <c r="H116" s="68"/>
      <c r="I116" s="69"/>
      <c r="J116" s="69"/>
      <c r="K116" s="68"/>
      <c r="L116" s="70"/>
      <c r="M116" s="69"/>
      <c r="N116" s="68"/>
      <c r="O116" s="69"/>
      <c r="P116" s="69"/>
      <c r="Q116" s="41"/>
      <c r="R116" s="46"/>
      <c r="S116" s="67"/>
      <c r="T116" s="141"/>
    </row>
    <row r="117" spans="4:20">
      <c r="D117" s="42"/>
      <c r="E117" s="66"/>
      <c r="F117" s="67"/>
      <c r="G117" s="67"/>
      <c r="H117" s="68"/>
      <c r="I117" s="69"/>
      <c r="J117" s="69"/>
      <c r="K117" s="68"/>
      <c r="L117" s="70"/>
      <c r="M117" s="69"/>
      <c r="N117" s="68"/>
      <c r="O117" s="69"/>
      <c r="P117" s="69"/>
      <c r="Q117" s="41"/>
      <c r="R117" s="46"/>
      <c r="S117" s="67"/>
      <c r="T117" s="141"/>
    </row>
    <row r="118" spans="4:20">
      <c r="D118" s="42"/>
      <c r="E118" s="66"/>
      <c r="F118" s="67"/>
      <c r="G118" s="67"/>
      <c r="H118" s="68"/>
      <c r="I118" s="69"/>
      <c r="J118" s="69"/>
      <c r="K118" s="68"/>
      <c r="L118" s="70"/>
      <c r="M118" s="69"/>
      <c r="N118" s="68"/>
      <c r="O118" s="69"/>
      <c r="P118" s="69"/>
      <c r="Q118" s="41"/>
      <c r="R118" s="46"/>
      <c r="S118" s="67"/>
      <c r="T118" s="141"/>
    </row>
    <row r="119" spans="4:20">
      <c r="D119" s="42"/>
      <c r="E119" s="66"/>
      <c r="F119" s="67"/>
      <c r="G119" s="67"/>
      <c r="H119" s="68"/>
      <c r="I119" s="69"/>
      <c r="J119" s="69"/>
      <c r="K119" s="68"/>
      <c r="L119" s="70"/>
      <c r="M119" s="69"/>
      <c r="N119" s="68"/>
      <c r="O119" s="69"/>
      <c r="P119" s="69"/>
      <c r="Q119" s="41"/>
      <c r="R119" s="46"/>
      <c r="S119" s="67"/>
      <c r="T119" s="141"/>
    </row>
    <row r="120" spans="4:20">
      <c r="D120" s="42"/>
      <c r="E120" s="66"/>
      <c r="F120" s="67"/>
      <c r="G120" s="67"/>
      <c r="H120" s="68"/>
      <c r="I120" s="69"/>
      <c r="J120" s="69"/>
      <c r="K120" s="68"/>
      <c r="L120" s="70"/>
      <c r="M120" s="69"/>
      <c r="N120" s="68"/>
      <c r="O120" s="69"/>
      <c r="P120" s="69"/>
      <c r="Q120" s="41"/>
      <c r="R120" s="46"/>
      <c r="S120" s="67"/>
      <c r="T120" s="141"/>
    </row>
    <row r="121" spans="4:20">
      <c r="D121" s="42"/>
      <c r="E121" s="66"/>
      <c r="F121" s="67"/>
      <c r="G121" s="67"/>
      <c r="H121" s="68"/>
      <c r="I121" s="69"/>
      <c r="J121" s="69"/>
      <c r="K121" s="68"/>
      <c r="L121" s="70"/>
      <c r="M121" s="69"/>
      <c r="N121" s="68"/>
      <c r="O121" s="69"/>
      <c r="P121" s="69"/>
      <c r="Q121" s="41"/>
      <c r="R121" s="46"/>
      <c r="S121" s="67"/>
      <c r="T121" s="141"/>
    </row>
    <row r="122" spans="4:20">
      <c r="D122" s="42"/>
      <c r="E122" s="66"/>
      <c r="F122" s="67"/>
      <c r="G122" s="67"/>
      <c r="H122" s="68"/>
      <c r="I122" s="69"/>
      <c r="J122" s="69"/>
      <c r="K122" s="68"/>
      <c r="L122" s="70"/>
      <c r="M122" s="69"/>
      <c r="N122" s="68"/>
      <c r="O122" s="69"/>
      <c r="P122" s="69"/>
      <c r="Q122" s="41"/>
      <c r="R122" s="46"/>
      <c r="S122" s="67"/>
      <c r="T122" s="141"/>
    </row>
    <row r="123" spans="4:20">
      <c r="D123" s="42"/>
      <c r="E123" s="66"/>
      <c r="F123" s="67"/>
      <c r="G123" s="67"/>
      <c r="H123" s="68"/>
      <c r="I123" s="69"/>
      <c r="J123" s="69"/>
      <c r="K123" s="68"/>
      <c r="L123" s="70"/>
      <c r="M123" s="69"/>
      <c r="N123" s="68"/>
      <c r="O123" s="69"/>
      <c r="P123" s="69"/>
      <c r="Q123" s="41"/>
      <c r="R123" s="46"/>
      <c r="S123" s="67"/>
      <c r="T123" s="141"/>
    </row>
    <row r="124" spans="4:20">
      <c r="D124" s="42"/>
      <c r="E124" s="66"/>
      <c r="F124" s="67"/>
      <c r="G124" s="67"/>
      <c r="H124" s="68"/>
      <c r="I124" s="69"/>
      <c r="J124" s="69"/>
      <c r="K124" s="68"/>
      <c r="L124" s="70"/>
      <c r="M124" s="69"/>
      <c r="N124" s="68"/>
      <c r="O124" s="69"/>
      <c r="P124" s="69"/>
      <c r="Q124" s="41"/>
      <c r="R124" s="46"/>
      <c r="S124" s="67"/>
      <c r="T124" s="141"/>
    </row>
    <row r="125" spans="4:20">
      <c r="D125" s="42"/>
      <c r="E125" s="66"/>
      <c r="F125" s="67"/>
      <c r="G125" s="67"/>
      <c r="H125" s="68"/>
      <c r="I125" s="69"/>
      <c r="J125" s="69"/>
      <c r="K125" s="68"/>
      <c r="L125" s="70"/>
      <c r="M125" s="69"/>
      <c r="N125" s="68"/>
      <c r="O125" s="69"/>
      <c r="P125" s="69"/>
      <c r="Q125" s="41"/>
      <c r="R125" s="46"/>
      <c r="S125" s="67"/>
      <c r="T125" s="141"/>
    </row>
    <row r="126" spans="4:20">
      <c r="D126" s="42"/>
      <c r="E126" s="66"/>
      <c r="F126" s="67"/>
      <c r="G126" s="67"/>
      <c r="H126" s="68"/>
      <c r="I126" s="69"/>
      <c r="J126" s="69"/>
      <c r="K126" s="68"/>
      <c r="L126" s="70"/>
      <c r="M126" s="69"/>
      <c r="N126" s="68"/>
      <c r="O126" s="69"/>
      <c r="P126" s="69"/>
      <c r="Q126" s="41"/>
      <c r="R126" s="46"/>
      <c r="S126" s="67"/>
      <c r="T126" s="141"/>
    </row>
    <row r="127" spans="4:20">
      <c r="D127" s="42"/>
      <c r="E127" s="66"/>
      <c r="F127" s="67"/>
      <c r="G127" s="67"/>
      <c r="H127" s="68"/>
      <c r="I127" s="69"/>
      <c r="J127" s="69"/>
      <c r="K127" s="68"/>
      <c r="L127" s="70"/>
      <c r="M127" s="69"/>
      <c r="N127" s="68"/>
      <c r="O127" s="69"/>
      <c r="P127" s="69"/>
      <c r="Q127" s="41"/>
      <c r="R127" s="46"/>
      <c r="S127" s="67"/>
      <c r="T127" s="141"/>
    </row>
    <row r="128" spans="4:20">
      <c r="D128" s="42"/>
      <c r="E128" s="66"/>
      <c r="F128" s="67"/>
      <c r="G128" s="67"/>
      <c r="H128" s="68"/>
      <c r="I128" s="69"/>
      <c r="J128" s="69"/>
      <c r="K128" s="68"/>
      <c r="L128" s="70"/>
      <c r="M128" s="69"/>
      <c r="N128" s="68"/>
      <c r="O128" s="69"/>
      <c r="P128" s="69"/>
      <c r="Q128" s="41"/>
      <c r="R128" s="46"/>
      <c r="S128" s="67"/>
      <c r="T128" s="141"/>
    </row>
    <row r="129" spans="4:20">
      <c r="D129" s="42"/>
      <c r="E129" s="66"/>
      <c r="F129" s="67"/>
      <c r="G129" s="67"/>
      <c r="H129" s="68"/>
      <c r="I129" s="69"/>
      <c r="J129" s="69"/>
      <c r="K129" s="68"/>
      <c r="L129" s="70"/>
      <c r="M129" s="69"/>
      <c r="N129" s="68"/>
      <c r="O129" s="69"/>
      <c r="P129" s="69"/>
      <c r="Q129" s="41"/>
      <c r="R129" s="46"/>
      <c r="S129" s="67"/>
      <c r="T129" s="141"/>
    </row>
    <row r="130" spans="4:20">
      <c r="D130" s="42"/>
      <c r="E130" s="66"/>
      <c r="F130" s="67"/>
      <c r="G130" s="67"/>
      <c r="H130" s="68"/>
      <c r="I130" s="69"/>
      <c r="J130" s="69"/>
      <c r="K130" s="68"/>
      <c r="L130" s="70"/>
      <c r="M130" s="69"/>
      <c r="N130" s="68"/>
      <c r="O130" s="69"/>
      <c r="P130" s="69"/>
      <c r="Q130" s="41"/>
      <c r="R130" s="46"/>
      <c r="S130" s="67"/>
      <c r="T130" s="141"/>
    </row>
    <row r="131" spans="4:20">
      <c r="D131" s="42"/>
      <c r="E131" s="66"/>
      <c r="F131" s="67"/>
      <c r="G131" s="67"/>
      <c r="H131" s="68"/>
      <c r="I131" s="69"/>
      <c r="J131" s="69"/>
      <c r="K131" s="68"/>
      <c r="L131" s="70"/>
      <c r="M131" s="69"/>
      <c r="N131" s="68"/>
      <c r="O131" s="69"/>
      <c r="P131" s="69"/>
      <c r="Q131" s="41"/>
      <c r="R131" s="46"/>
      <c r="S131" s="67"/>
      <c r="T131" s="141"/>
    </row>
    <row r="132" spans="4:20">
      <c r="D132" s="42"/>
      <c r="E132" s="66"/>
      <c r="F132" s="67"/>
      <c r="G132" s="67"/>
      <c r="H132" s="68"/>
      <c r="I132" s="69"/>
      <c r="J132" s="69"/>
      <c r="K132" s="68"/>
      <c r="L132" s="70"/>
      <c r="M132" s="69"/>
      <c r="N132" s="68"/>
      <c r="O132" s="69"/>
      <c r="P132" s="69"/>
      <c r="Q132" s="41"/>
      <c r="R132" s="46"/>
      <c r="S132" s="67"/>
      <c r="T132" s="141"/>
    </row>
    <row r="133" spans="4:20">
      <c r="D133" s="42"/>
      <c r="E133" s="66"/>
      <c r="F133" s="67"/>
      <c r="G133" s="67"/>
      <c r="H133" s="68"/>
      <c r="I133" s="69"/>
      <c r="J133" s="69"/>
      <c r="K133" s="68"/>
      <c r="L133" s="70"/>
      <c r="M133" s="69"/>
      <c r="N133" s="68"/>
      <c r="O133" s="69"/>
      <c r="P133" s="69"/>
      <c r="Q133" s="41"/>
      <c r="R133" s="46"/>
      <c r="S133" s="67"/>
      <c r="T133" s="141"/>
    </row>
    <row r="134" spans="4:20">
      <c r="D134" s="42"/>
      <c r="E134" s="66"/>
      <c r="F134" s="67"/>
      <c r="G134" s="67"/>
      <c r="H134" s="68"/>
      <c r="I134" s="69"/>
      <c r="J134" s="69"/>
      <c r="K134" s="68"/>
      <c r="L134" s="70"/>
      <c r="M134" s="69"/>
      <c r="N134" s="68"/>
      <c r="O134" s="69"/>
      <c r="P134" s="69"/>
      <c r="Q134" s="41"/>
      <c r="R134" s="46"/>
      <c r="S134" s="67"/>
      <c r="T134" s="141"/>
    </row>
    <row r="135" spans="4:20">
      <c r="D135" s="42"/>
      <c r="E135" s="66"/>
      <c r="F135" s="67"/>
      <c r="G135" s="67"/>
      <c r="H135" s="68"/>
      <c r="I135" s="69"/>
      <c r="J135" s="69"/>
      <c r="K135" s="68"/>
      <c r="L135" s="70"/>
      <c r="M135" s="69"/>
      <c r="N135" s="68"/>
      <c r="O135" s="69"/>
      <c r="P135" s="69"/>
      <c r="Q135" s="41"/>
      <c r="R135" s="46"/>
      <c r="S135" s="67"/>
      <c r="T135" s="141"/>
    </row>
    <row r="136" spans="4:20">
      <c r="D136" s="42"/>
      <c r="E136" s="66"/>
      <c r="F136" s="67"/>
      <c r="G136" s="67"/>
      <c r="H136" s="68"/>
      <c r="I136" s="69"/>
      <c r="J136" s="69"/>
      <c r="K136" s="68"/>
      <c r="L136" s="70"/>
      <c r="M136" s="69"/>
      <c r="N136" s="68"/>
      <c r="O136" s="69"/>
      <c r="P136" s="69"/>
      <c r="Q136" s="41"/>
      <c r="R136" s="46"/>
      <c r="S136" s="67"/>
      <c r="T136" s="141"/>
    </row>
    <row r="137" spans="4:20">
      <c r="D137" s="42"/>
      <c r="E137" s="66"/>
      <c r="F137" s="67"/>
      <c r="G137" s="67"/>
      <c r="H137" s="68"/>
      <c r="I137" s="69"/>
      <c r="J137" s="69"/>
      <c r="K137" s="68"/>
      <c r="L137" s="70"/>
      <c r="M137" s="69"/>
      <c r="N137" s="68"/>
      <c r="O137" s="69"/>
      <c r="P137" s="69"/>
      <c r="Q137" s="41"/>
      <c r="R137" s="46"/>
      <c r="S137" s="67"/>
      <c r="T137" s="141"/>
    </row>
    <row r="138" spans="4:20">
      <c r="D138" s="42"/>
      <c r="E138" s="66"/>
      <c r="F138" s="67"/>
      <c r="G138" s="67"/>
      <c r="H138" s="68"/>
      <c r="I138" s="69"/>
      <c r="J138" s="69"/>
      <c r="K138" s="68"/>
      <c r="L138" s="70"/>
      <c r="M138" s="69"/>
      <c r="N138" s="68"/>
      <c r="O138" s="69"/>
      <c r="P138" s="69"/>
      <c r="Q138" s="41"/>
      <c r="R138" s="46"/>
      <c r="S138" s="67"/>
      <c r="T138" s="141"/>
    </row>
    <row r="139" spans="4:20">
      <c r="D139" s="42"/>
      <c r="E139" s="66"/>
      <c r="F139" s="67"/>
      <c r="G139" s="67"/>
      <c r="H139" s="68"/>
      <c r="I139" s="69"/>
      <c r="J139" s="69"/>
      <c r="K139" s="68"/>
      <c r="L139" s="70"/>
      <c r="M139" s="69"/>
      <c r="N139" s="68"/>
      <c r="O139" s="69"/>
      <c r="P139" s="69"/>
      <c r="Q139" s="41"/>
      <c r="R139" s="46"/>
      <c r="S139" s="67"/>
      <c r="T139" s="141"/>
    </row>
    <row r="140" spans="4:20">
      <c r="D140" s="42"/>
      <c r="E140" s="66"/>
      <c r="F140" s="67"/>
      <c r="G140" s="67"/>
      <c r="H140" s="68"/>
      <c r="I140" s="69"/>
      <c r="J140" s="69"/>
      <c r="K140" s="68"/>
      <c r="L140" s="70"/>
      <c r="M140" s="69"/>
      <c r="N140" s="68"/>
      <c r="O140" s="69"/>
      <c r="P140" s="69"/>
      <c r="Q140" s="41"/>
      <c r="R140" s="46"/>
      <c r="S140" s="67"/>
      <c r="T140" s="141"/>
    </row>
    <row r="141" spans="4:20">
      <c r="D141" s="42"/>
      <c r="E141" s="66"/>
      <c r="F141" s="67"/>
      <c r="G141" s="67"/>
      <c r="H141" s="68"/>
      <c r="I141" s="69"/>
      <c r="J141" s="69"/>
      <c r="K141" s="68"/>
      <c r="L141" s="70"/>
      <c r="M141" s="69"/>
      <c r="N141" s="68"/>
      <c r="O141" s="69"/>
      <c r="P141" s="69"/>
      <c r="Q141" s="41"/>
      <c r="R141" s="46"/>
      <c r="S141" s="67"/>
      <c r="T141" s="141"/>
    </row>
    <row r="142" spans="4:20">
      <c r="D142" s="42"/>
      <c r="E142" s="66"/>
      <c r="F142" s="67"/>
      <c r="G142" s="67"/>
      <c r="H142" s="68"/>
      <c r="I142" s="69"/>
      <c r="J142" s="69"/>
      <c r="K142" s="68"/>
      <c r="L142" s="70"/>
      <c r="M142" s="69"/>
      <c r="N142" s="68"/>
      <c r="O142" s="69"/>
      <c r="P142" s="69"/>
      <c r="Q142" s="41"/>
      <c r="R142" s="46"/>
      <c r="S142" s="67"/>
      <c r="T142" s="141"/>
    </row>
    <row r="143" spans="4:20">
      <c r="D143" s="42"/>
      <c r="E143" s="66"/>
      <c r="F143" s="67"/>
      <c r="G143" s="67"/>
      <c r="H143" s="68"/>
      <c r="I143" s="69"/>
      <c r="J143" s="69"/>
      <c r="K143" s="68"/>
      <c r="L143" s="70"/>
      <c r="M143" s="69"/>
      <c r="N143" s="68"/>
      <c r="O143" s="69"/>
      <c r="P143" s="69"/>
      <c r="Q143" s="41"/>
      <c r="R143" s="46"/>
      <c r="S143" s="67"/>
      <c r="T143" s="141"/>
    </row>
    <row r="144" spans="4:20">
      <c r="D144" s="42"/>
      <c r="E144" s="66"/>
      <c r="F144" s="67"/>
      <c r="G144" s="67"/>
      <c r="H144" s="68"/>
      <c r="I144" s="69"/>
      <c r="J144" s="69"/>
      <c r="K144" s="68"/>
      <c r="L144" s="70"/>
      <c r="M144" s="69"/>
      <c r="N144" s="68"/>
      <c r="O144" s="69"/>
      <c r="P144" s="69"/>
      <c r="Q144" s="41"/>
      <c r="R144" s="46"/>
      <c r="S144" s="67"/>
      <c r="T144" s="141"/>
    </row>
    <row r="145" spans="4:20">
      <c r="D145" s="42"/>
      <c r="E145" s="66"/>
      <c r="F145" s="67"/>
      <c r="G145" s="67"/>
      <c r="H145" s="68"/>
      <c r="I145" s="69"/>
      <c r="J145" s="69"/>
      <c r="K145" s="68"/>
      <c r="L145" s="70"/>
      <c r="M145" s="69"/>
      <c r="N145" s="68"/>
      <c r="O145" s="69"/>
      <c r="P145" s="69"/>
      <c r="Q145" s="41"/>
      <c r="R145" s="46"/>
      <c r="S145" s="67"/>
      <c r="T145" s="141"/>
    </row>
    <row r="146" spans="4:20">
      <c r="D146" s="42"/>
      <c r="E146" s="66"/>
      <c r="F146" s="67"/>
      <c r="G146" s="67"/>
      <c r="H146" s="68"/>
      <c r="I146" s="69"/>
      <c r="J146" s="69"/>
      <c r="K146" s="68"/>
      <c r="L146" s="70"/>
      <c r="M146" s="69"/>
      <c r="N146" s="68"/>
      <c r="O146" s="69"/>
      <c r="P146" s="69"/>
      <c r="Q146" s="41"/>
      <c r="R146" s="46"/>
      <c r="S146" s="67"/>
      <c r="T146" s="141"/>
    </row>
    <row r="147" spans="4:20">
      <c r="D147" s="42"/>
      <c r="E147" s="66"/>
      <c r="F147" s="67"/>
      <c r="G147" s="67"/>
      <c r="H147" s="68"/>
      <c r="I147" s="69"/>
      <c r="J147" s="69"/>
      <c r="K147" s="68"/>
      <c r="L147" s="70"/>
      <c r="M147" s="69"/>
      <c r="N147" s="68"/>
      <c r="O147" s="69"/>
      <c r="P147" s="69"/>
      <c r="Q147" s="41"/>
      <c r="R147" s="46"/>
      <c r="S147" s="67"/>
      <c r="T147" s="141"/>
    </row>
    <row r="148" spans="4:20">
      <c r="D148" s="42"/>
      <c r="E148" s="66"/>
      <c r="F148" s="67"/>
      <c r="G148" s="67"/>
      <c r="H148" s="68"/>
      <c r="I148" s="69"/>
      <c r="J148" s="69"/>
      <c r="K148" s="68"/>
      <c r="L148" s="70"/>
      <c r="M148" s="69"/>
      <c r="N148" s="68"/>
      <c r="O148" s="69"/>
      <c r="P148" s="69"/>
      <c r="Q148" s="41"/>
      <c r="R148" s="46"/>
      <c r="S148" s="67"/>
      <c r="T148" s="141"/>
    </row>
    <row r="149" spans="4:20">
      <c r="D149" s="42"/>
      <c r="E149" s="66"/>
      <c r="F149" s="67"/>
      <c r="G149" s="67"/>
      <c r="H149" s="68"/>
      <c r="I149" s="69"/>
      <c r="J149" s="69"/>
      <c r="K149" s="68"/>
      <c r="L149" s="70"/>
      <c r="M149" s="69"/>
      <c r="N149" s="68"/>
      <c r="O149" s="69"/>
      <c r="P149" s="69"/>
      <c r="Q149" s="41"/>
      <c r="R149" s="46"/>
      <c r="S149" s="67"/>
      <c r="T149" s="141"/>
    </row>
    <row r="150" spans="4:20">
      <c r="D150" s="42"/>
      <c r="E150" s="66"/>
      <c r="F150" s="67"/>
      <c r="G150" s="67"/>
      <c r="H150" s="68"/>
      <c r="I150" s="69"/>
      <c r="J150" s="69"/>
      <c r="K150" s="68"/>
      <c r="L150" s="70"/>
      <c r="M150" s="69"/>
      <c r="N150" s="68"/>
      <c r="O150" s="69"/>
      <c r="P150" s="69"/>
      <c r="Q150" s="41"/>
      <c r="R150" s="46"/>
      <c r="S150" s="67"/>
      <c r="T150" s="141"/>
    </row>
    <row r="151" spans="4:20">
      <c r="D151" s="42"/>
      <c r="E151" s="66"/>
      <c r="F151" s="67"/>
      <c r="G151" s="67"/>
      <c r="H151" s="68"/>
      <c r="I151" s="69"/>
      <c r="J151" s="69"/>
      <c r="K151" s="68"/>
      <c r="L151" s="70"/>
      <c r="M151" s="69"/>
      <c r="N151" s="68"/>
      <c r="O151" s="69"/>
      <c r="P151" s="69"/>
      <c r="Q151" s="41"/>
      <c r="R151" s="46"/>
      <c r="S151" s="67"/>
      <c r="T151" s="141"/>
    </row>
    <row r="152" spans="4:20">
      <c r="D152" s="42"/>
      <c r="E152" s="66"/>
      <c r="F152" s="67"/>
      <c r="G152" s="67"/>
      <c r="H152" s="68"/>
      <c r="I152" s="69"/>
      <c r="J152" s="69"/>
      <c r="K152" s="68"/>
      <c r="L152" s="70"/>
      <c r="M152" s="69"/>
      <c r="N152" s="68"/>
      <c r="O152" s="69"/>
      <c r="P152" s="69"/>
      <c r="Q152" s="41"/>
      <c r="R152" s="46"/>
      <c r="S152" s="67"/>
      <c r="T152" s="141"/>
    </row>
    <row r="153" spans="4:20">
      <c r="D153" s="42"/>
      <c r="E153" s="66"/>
      <c r="F153" s="67"/>
      <c r="G153" s="67"/>
      <c r="H153" s="68"/>
      <c r="I153" s="69"/>
      <c r="J153" s="69"/>
      <c r="K153" s="68"/>
      <c r="L153" s="70"/>
      <c r="M153" s="69"/>
      <c r="N153" s="68"/>
      <c r="O153" s="69"/>
      <c r="P153" s="69"/>
      <c r="Q153" s="41"/>
      <c r="R153" s="46"/>
      <c r="S153" s="67"/>
      <c r="T153" s="141"/>
    </row>
    <row r="154" spans="4:20">
      <c r="D154" s="42"/>
      <c r="E154" s="66"/>
      <c r="F154" s="67"/>
      <c r="G154" s="67"/>
      <c r="H154" s="68"/>
      <c r="I154" s="69"/>
      <c r="J154" s="69"/>
      <c r="K154" s="68"/>
      <c r="L154" s="70"/>
      <c r="M154" s="69"/>
      <c r="N154" s="68"/>
      <c r="O154" s="69"/>
      <c r="P154" s="69"/>
      <c r="Q154" s="41"/>
      <c r="R154" s="46"/>
      <c r="S154" s="67"/>
      <c r="T154" s="141"/>
    </row>
    <row r="155" spans="4:20">
      <c r="D155" s="42"/>
      <c r="E155" s="66"/>
      <c r="F155" s="67"/>
      <c r="G155" s="67"/>
      <c r="H155" s="68"/>
      <c r="I155" s="69"/>
      <c r="J155" s="69"/>
      <c r="K155" s="68"/>
      <c r="L155" s="70"/>
      <c r="M155" s="69"/>
      <c r="N155" s="68"/>
      <c r="O155" s="69"/>
      <c r="P155" s="69"/>
      <c r="Q155" s="41"/>
      <c r="R155" s="46"/>
      <c r="S155" s="67"/>
      <c r="T155" s="141"/>
    </row>
    <row r="156" spans="4:20">
      <c r="D156" s="42"/>
      <c r="E156" s="66"/>
      <c r="F156" s="67"/>
      <c r="G156" s="67"/>
      <c r="H156" s="68"/>
      <c r="I156" s="69"/>
      <c r="J156" s="69"/>
      <c r="K156" s="68"/>
      <c r="L156" s="70"/>
      <c r="M156" s="69"/>
      <c r="N156" s="68"/>
      <c r="O156" s="69"/>
      <c r="P156" s="69"/>
      <c r="Q156" s="41"/>
      <c r="R156" s="46"/>
      <c r="S156" s="67"/>
      <c r="T156" s="141"/>
    </row>
    <row r="157" spans="4:20">
      <c r="D157" s="42"/>
      <c r="E157" s="66"/>
      <c r="F157" s="67"/>
      <c r="G157" s="67"/>
      <c r="H157" s="68"/>
      <c r="I157" s="69"/>
      <c r="J157" s="69"/>
      <c r="K157" s="68"/>
      <c r="L157" s="70"/>
      <c r="M157" s="69"/>
      <c r="N157" s="68"/>
      <c r="O157" s="69"/>
      <c r="P157" s="69"/>
      <c r="Q157" s="41"/>
      <c r="R157" s="46"/>
      <c r="S157" s="67"/>
      <c r="T157" s="141"/>
    </row>
    <row r="158" spans="4:20">
      <c r="D158" s="42"/>
      <c r="E158" s="66"/>
      <c r="F158" s="67"/>
      <c r="G158" s="67"/>
      <c r="H158" s="68"/>
      <c r="I158" s="69"/>
      <c r="J158" s="69"/>
      <c r="K158" s="68"/>
      <c r="L158" s="70"/>
      <c r="M158" s="69"/>
      <c r="N158" s="68"/>
      <c r="O158" s="69"/>
      <c r="P158" s="69"/>
      <c r="Q158" s="41"/>
      <c r="R158" s="46"/>
      <c r="S158" s="67"/>
      <c r="T158" s="141"/>
    </row>
    <row r="159" spans="4:20">
      <c r="D159" s="42"/>
      <c r="E159" s="66"/>
      <c r="F159" s="67"/>
      <c r="G159" s="67"/>
      <c r="H159" s="68"/>
      <c r="I159" s="69"/>
      <c r="J159" s="69"/>
      <c r="K159" s="68"/>
      <c r="L159" s="70"/>
      <c r="M159" s="69"/>
      <c r="N159" s="68"/>
      <c r="O159" s="69"/>
      <c r="P159" s="69"/>
      <c r="Q159" s="41"/>
      <c r="R159" s="46"/>
      <c r="S159" s="67"/>
      <c r="T159" s="141"/>
    </row>
    <row r="160" spans="4:20">
      <c r="D160" s="42"/>
      <c r="E160" s="66"/>
      <c r="F160" s="67"/>
      <c r="G160" s="67"/>
      <c r="H160" s="68"/>
      <c r="I160" s="69"/>
      <c r="J160" s="69"/>
      <c r="K160" s="68"/>
      <c r="L160" s="70"/>
      <c r="M160" s="69"/>
      <c r="N160" s="68"/>
      <c r="O160" s="69"/>
      <c r="P160" s="69"/>
      <c r="Q160" s="41"/>
      <c r="R160" s="46"/>
      <c r="S160" s="67"/>
      <c r="T160" s="141"/>
    </row>
    <row r="161" spans="4:20">
      <c r="D161" s="42"/>
      <c r="E161" s="66"/>
      <c r="F161" s="67"/>
      <c r="G161" s="67"/>
      <c r="H161" s="68"/>
      <c r="I161" s="69"/>
      <c r="J161" s="69"/>
      <c r="K161" s="68"/>
      <c r="L161" s="70"/>
      <c r="M161" s="69"/>
      <c r="N161" s="68"/>
      <c r="O161" s="69"/>
      <c r="P161" s="69"/>
      <c r="Q161" s="41"/>
      <c r="R161" s="46"/>
      <c r="S161" s="67"/>
      <c r="T161" s="141"/>
    </row>
    <row r="162" spans="4:20">
      <c r="D162" s="42"/>
      <c r="E162" s="66"/>
      <c r="F162" s="67"/>
      <c r="G162" s="67"/>
      <c r="H162" s="68"/>
      <c r="I162" s="69"/>
      <c r="J162" s="69"/>
      <c r="K162" s="68"/>
      <c r="L162" s="70"/>
      <c r="M162" s="69"/>
      <c r="N162" s="68"/>
      <c r="O162" s="69"/>
      <c r="P162" s="69"/>
      <c r="Q162" s="41"/>
      <c r="R162" s="46"/>
      <c r="S162" s="67"/>
      <c r="T162" s="141"/>
    </row>
    <row r="163" spans="4:20">
      <c r="D163" s="42"/>
      <c r="E163" s="66"/>
      <c r="F163" s="67"/>
      <c r="G163" s="67"/>
      <c r="H163" s="68"/>
      <c r="I163" s="69"/>
      <c r="J163" s="69"/>
      <c r="K163" s="68"/>
      <c r="L163" s="70"/>
      <c r="M163" s="69"/>
      <c r="N163" s="68"/>
      <c r="O163" s="69"/>
      <c r="P163" s="69"/>
      <c r="Q163" s="41"/>
      <c r="R163" s="46"/>
      <c r="S163" s="67"/>
      <c r="T163" s="141"/>
    </row>
    <row r="164" spans="4:20">
      <c r="D164" s="42"/>
      <c r="E164" s="66"/>
      <c r="F164" s="67"/>
      <c r="G164" s="67"/>
      <c r="H164" s="68"/>
      <c r="I164" s="69"/>
      <c r="J164" s="69"/>
      <c r="K164" s="68"/>
      <c r="L164" s="70"/>
      <c r="M164" s="69"/>
      <c r="N164" s="68"/>
      <c r="O164" s="69"/>
      <c r="P164" s="69"/>
      <c r="Q164" s="41"/>
      <c r="R164" s="46"/>
      <c r="S164" s="67"/>
      <c r="T164" s="141"/>
    </row>
    <row r="165" spans="4:20">
      <c r="D165" s="42"/>
      <c r="E165" s="66"/>
      <c r="F165" s="67"/>
      <c r="G165" s="67"/>
      <c r="H165" s="68"/>
      <c r="I165" s="69"/>
      <c r="J165" s="69"/>
      <c r="K165" s="68"/>
      <c r="L165" s="70"/>
      <c r="M165" s="69"/>
      <c r="N165" s="68"/>
      <c r="O165" s="69"/>
      <c r="P165" s="69"/>
      <c r="Q165" s="41"/>
      <c r="R165" s="46"/>
      <c r="S165" s="67"/>
      <c r="T165" s="141"/>
    </row>
    <row r="166" spans="4:20">
      <c r="D166" s="42"/>
      <c r="E166" s="66"/>
      <c r="F166" s="67"/>
      <c r="G166" s="67"/>
      <c r="H166" s="68"/>
      <c r="I166" s="69"/>
      <c r="J166" s="69"/>
      <c r="K166" s="68"/>
      <c r="L166" s="70"/>
      <c r="M166" s="69"/>
      <c r="N166" s="68"/>
      <c r="O166" s="69"/>
      <c r="P166" s="69"/>
      <c r="Q166" s="41"/>
      <c r="R166" s="46"/>
      <c r="S166" s="67"/>
      <c r="T166" s="141"/>
    </row>
    <row r="167" spans="4:20">
      <c r="D167" s="42"/>
      <c r="E167" s="66"/>
      <c r="F167" s="67"/>
      <c r="G167" s="67"/>
      <c r="H167" s="68"/>
      <c r="I167" s="69"/>
      <c r="J167" s="69"/>
      <c r="K167" s="68"/>
      <c r="L167" s="70"/>
      <c r="M167" s="69"/>
      <c r="N167" s="68"/>
      <c r="O167" s="69"/>
      <c r="P167" s="69"/>
      <c r="Q167" s="41"/>
      <c r="R167" s="46"/>
      <c r="S167" s="67"/>
      <c r="T167" s="141"/>
    </row>
    <row r="168" spans="4:20">
      <c r="D168" s="42"/>
      <c r="E168" s="66"/>
      <c r="F168" s="67"/>
      <c r="G168" s="67"/>
      <c r="H168" s="68"/>
      <c r="I168" s="69"/>
      <c r="J168" s="69"/>
      <c r="K168" s="68"/>
      <c r="L168" s="70"/>
      <c r="M168" s="69"/>
      <c r="N168" s="68"/>
      <c r="O168" s="69"/>
      <c r="P168" s="69"/>
      <c r="Q168" s="41"/>
      <c r="R168" s="46"/>
      <c r="S168" s="67"/>
      <c r="T168" s="141"/>
    </row>
    <row r="169" spans="4:20">
      <c r="D169" s="42"/>
      <c r="E169" s="66"/>
      <c r="F169" s="67"/>
      <c r="G169" s="67"/>
      <c r="H169" s="68"/>
      <c r="I169" s="69"/>
      <c r="J169" s="69"/>
      <c r="K169" s="68"/>
      <c r="L169" s="70"/>
      <c r="M169" s="69"/>
      <c r="N169" s="68"/>
      <c r="O169" s="69"/>
      <c r="P169" s="69"/>
      <c r="Q169" s="41"/>
      <c r="R169" s="46"/>
      <c r="S169" s="67"/>
      <c r="T169" s="141"/>
    </row>
    <row r="170" spans="4:20">
      <c r="D170" s="42"/>
      <c r="E170" s="66"/>
      <c r="F170" s="67"/>
      <c r="G170" s="67"/>
      <c r="H170" s="68"/>
      <c r="I170" s="69"/>
      <c r="J170" s="69"/>
      <c r="K170" s="68"/>
      <c r="L170" s="70"/>
      <c r="M170" s="69"/>
      <c r="N170" s="68"/>
      <c r="O170" s="69"/>
      <c r="P170" s="69"/>
      <c r="Q170" s="41"/>
      <c r="R170" s="46"/>
      <c r="S170" s="67"/>
      <c r="T170" s="141"/>
    </row>
    <row r="171" spans="4:20">
      <c r="D171" s="42"/>
      <c r="E171" s="66"/>
      <c r="F171" s="67"/>
      <c r="G171" s="67"/>
      <c r="H171" s="68"/>
      <c r="I171" s="69"/>
      <c r="J171" s="69"/>
      <c r="K171" s="68"/>
      <c r="L171" s="70"/>
      <c r="M171" s="69"/>
      <c r="N171" s="68"/>
      <c r="O171" s="69"/>
      <c r="P171" s="69"/>
      <c r="Q171" s="41"/>
      <c r="R171" s="46"/>
      <c r="S171" s="67"/>
      <c r="T171" s="141"/>
    </row>
    <row r="172" spans="4:20">
      <c r="D172" s="42"/>
      <c r="E172" s="66"/>
      <c r="F172" s="67"/>
      <c r="G172" s="67"/>
      <c r="H172" s="68"/>
      <c r="I172" s="69"/>
      <c r="J172" s="69"/>
      <c r="K172" s="68"/>
      <c r="L172" s="70"/>
      <c r="M172" s="69"/>
      <c r="N172" s="68"/>
      <c r="O172" s="69"/>
      <c r="P172" s="69"/>
      <c r="Q172" s="41"/>
      <c r="R172" s="46"/>
      <c r="S172" s="67"/>
      <c r="T172" s="141"/>
    </row>
    <row r="173" spans="4:20">
      <c r="D173" s="42"/>
      <c r="E173" s="66"/>
      <c r="F173" s="67"/>
      <c r="G173" s="67"/>
      <c r="H173" s="68"/>
      <c r="I173" s="69"/>
      <c r="J173" s="69"/>
      <c r="K173" s="68"/>
      <c r="L173" s="70"/>
      <c r="M173" s="69"/>
      <c r="N173" s="68"/>
      <c r="O173" s="69"/>
      <c r="P173" s="69"/>
      <c r="Q173" s="41"/>
      <c r="R173" s="46"/>
      <c r="S173" s="67"/>
      <c r="T173" s="141"/>
    </row>
    <row r="174" spans="4:20">
      <c r="D174" s="42"/>
      <c r="E174" s="66"/>
      <c r="F174" s="67"/>
      <c r="G174" s="67"/>
      <c r="H174" s="68"/>
      <c r="I174" s="69"/>
      <c r="J174" s="69"/>
      <c r="K174" s="68"/>
      <c r="L174" s="70"/>
      <c r="M174" s="69"/>
      <c r="N174" s="68"/>
      <c r="O174" s="69"/>
      <c r="P174" s="69"/>
      <c r="Q174" s="41"/>
      <c r="R174" s="46"/>
      <c r="S174" s="67"/>
      <c r="T174" s="141"/>
    </row>
    <row r="175" spans="4:20">
      <c r="D175" s="42"/>
      <c r="E175" s="66"/>
      <c r="F175" s="67"/>
      <c r="G175" s="67"/>
      <c r="H175" s="68"/>
      <c r="I175" s="69"/>
      <c r="J175" s="69"/>
      <c r="K175" s="68"/>
      <c r="L175" s="70"/>
      <c r="M175" s="69"/>
      <c r="N175" s="68"/>
      <c r="O175" s="69"/>
      <c r="P175" s="69"/>
      <c r="Q175" s="41"/>
      <c r="R175" s="46"/>
      <c r="S175" s="67"/>
      <c r="T175" s="141"/>
    </row>
    <row r="176" spans="4:20">
      <c r="D176" s="42"/>
      <c r="E176" s="66"/>
      <c r="F176" s="67"/>
      <c r="G176" s="67"/>
      <c r="H176" s="68"/>
      <c r="I176" s="69"/>
      <c r="J176" s="69"/>
      <c r="K176" s="68"/>
      <c r="L176" s="70"/>
      <c r="M176" s="69"/>
      <c r="N176" s="68"/>
      <c r="O176" s="69"/>
      <c r="P176" s="69"/>
      <c r="Q176" s="41"/>
      <c r="R176" s="46"/>
      <c r="S176" s="67"/>
      <c r="T176" s="141"/>
    </row>
    <row r="177" spans="4:20">
      <c r="D177" s="42"/>
      <c r="E177" s="66"/>
      <c r="F177" s="67"/>
      <c r="G177" s="67"/>
      <c r="H177" s="68"/>
      <c r="I177" s="69"/>
      <c r="J177" s="69"/>
      <c r="K177" s="68"/>
      <c r="L177" s="70"/>
      <c r="M177" s="69"/>
      <c r="N177" s="68"/>
      <c r="O177" s="69"/>
      <c r="P177" s="69"/>
      <c r="Q177" s="41"/>
      <c r="R177" s="46"/>
      <c r="S177" s="67"/>
      <c r="T177" s="141"/>
    </row>
    <row r="178" spans="4:20">
      <c r="D178" s="42"/>
      <c r="E178" s="66"/>
      <c r="F178" s="67"/>
      <c r="G178" s="67"/>
      <c r="H178" s="68"/>
      <c r="I178" s="69"/>
      <c r="J178" s="69"/>
      <c r="K178" s="68"/>
      <c r="L178" s="70"/>
      <c r="M178" s="69"/>
      <c r="N178" s="68"/>
      <c r="O178" s="69"/>
      <c r="P178" s="69"/>
      <c r="Q178" s="41"/>
      <c r="R178" s="46"/>
      <c r="S178" s="67"/>
      <c r="T178" s="141"/>
    </row>
    <row r="179" spans="4:20">
      <c r="D179" s="42"/>
      <c r="E179" s="66"/>
      <c r="F179" s="67"/>
      <c r="G179" s="67"/>
      <c r="H179" s="68"/>
      <c r="I179" s="69"/>
      <c r="J179" s="69"/>
      <c r="K179" s="68"/>
      <c r="L179" s="70"/>
      <c r="M179" s="69"/>
      <c r="N179" s="68"/>
      <c r="O179" s="69"/>
      <c r="P179" s="69"/>
      <c r="Q179" s="41"/>
      <c r="R179" s="46"/>
      <c r="S179" s="67"/>
      <c r="T179" s="141"/>
    </row>
    <row r="180" spans="4:20">
      <c r="D180" s="42"/>
      <c r="E180" s="66"/>
      <c r="F180" s="67"/>
      <c r="G180" s="67"/>
      <c r="H180" s="68"/>
      <c r="I180" s="69"/>
      <c r="J180" s="69"/>
      <c r="K180" s="68"/>
      <c r="L180" s="70"/>
      <c r="M180" s="69"/>
      <c r="N180" s="68"/>
      <c r="O180" s="69"/>
      <c r="P180" s="69"/>
      <c r="Q180" s="41"/>
      <c r="R180" s="46"/>
      <c r="S180" s="67"/>
      <c r="T180" s="141"/>
    </row>
    <row r="181" spans="4:20">
      <c r="D181" s="42"/>
      <c r="E181" s="66"/>
      <c r="F181" s="67"/>
      <c r="G181" s="67"/>
      <c r="H181" s="68"/>
      <c r="I181" s="69"/>
      <c r="J181" s="69"/>
      <c r="K181" s="68"/>
      <c r="L181" s="70"/>
      <c r="M181" s="69"/>
      <c r="N181" s="68"/>
      <c r="O181" s="69"/>
      <c r="P181" s="69"/>
      <c r="Q181" s="41"/>
      <c r="R181" s="46"/>
      <c r="S181" s="67"/>
      <c r="T181" s="141"/>
    </row>
    <row r="182" spans="4:20">
      <c r="D182" s="42"/>
      <c r="E182" s="66"/>
      <c r="F182" s="67"/>
      <c r="G182" s="67"/>
      <c r="H182" s="68"/>
      <c r="I182" s="69"/>
      <c r="J182" s="69"/>
      <c r="K182" s="68"/>
      <c r="L182" s="70"/>
      <c r="M182" s="69"/>
      <c r="N182" s="68"/>
      <c r="O182" s="69"/>
      <c r="P182" s="69"/>
      <c r="Q182" s="41"/>
      <c r="R182" s="46"/>
      <c r="S182" s="67"/>
      <c r="T182" s="141"/>
    </row>
    <row r="183" spans="4:20">
      <c r="D183" s="42"/>
      <c r="E183" s="66"/>
      <c r="F183" s="67"/>
      <c r="G183" s="67"/>
      <c r="H183" s="68"/>
      <c r="I183" s="69"/>
      <c r="J183" s="69"/>
      <c r="K183" s="68"/>
      <c r="L183" s="70"/>
      <c r="M183" s="69"/>
      <c r="N183" s="68"/>
      <c r="O183" s="69"/>
      <c r="P183" s="69"/>
      <c r="Q183" s="41"/>
      <c r="R183" s="46"/>
      <c r="S183" s="67"/>
      <c r="T183" s="141"/>
    </row>
    <row r="184" spans="4:20">
      <c r="D184" s="42"/>
      <c r="E184" s="66"/>
      <c r="F184" s="67"/>
      <c r="G184" s="67"/>
      <c r="H184" s="68"/>
      <c r="I184" s="69"/>
      <c r="J184" s="69"/>
      <c r="K184" s="68"/>
      <c r="L184" s="70"/>
      <c r="M184" s="69"/>
      <c r="N184" s="68"/>
      <c r="O184" s="69"/>
      <c r="P184" s="69"/>
      <c r="Q184" s="41"/>
      <c r="R184" s="46"/>
      <c r="S184" s="67"/>
      <c r="T184" s="141"/>
    </row>
    <row r="185" spans="4:20">
      <c r="D185" s="42"/>
      <c r="E185" s="66"/>
      <c r="F185" s="67"/>
      <c r="G185" s="67"/>
      <c r="H185" s="68"/>
      <c r="I185" s="69"/>
      <c r="J185" s="69"/>
      <c r="K185" s="68"/>
      <c r="L185" s="70"/>
      <c r="M185" s="69"/>
      <c r="N185" s="68"/>
      <c r="O185" s="69"/>
      <c r="P185" s="69"/>
      <c r="Q185" s="41"/>
      <c r="R185" s="46"/>
      <c r="S185" s="67"/>
      <c r="T185" s="141"/>
    </row>
    <row r="186" spans="4:20">
      <c r="D186" s="42"/>
      <c r="E186" s="66"/>
      <c r="F186" s="67"/>
      <c r="G186" s="67"/>
      <c r="H186" s="68"/>
      <c r="I186" s="69"/>
      <c r="J186" s="69"/>
      <c r="K186" s="68"/>
      <c r="L186" s="70"/>
      <c r="M186" s="69"/>
      <c r="N186" s="68"/>
      <c r="O186" s="69"/>
      <c r="P186" s="69"/>
      <c r="Q186" s="41"/>
      <c r="R186" s="46"/>
      <c r="S186" s="67"/>
      <c r="T186" s="141"/>
    </row>
    <row r="187" spans="4:20">
      <c r="D187" s="42"/>
      <c r="E187" s="66"/>
      <c r="F187" s="67"/>
      <c r="G187" s="67"/>
      <c r="H187" s="68"/>
      <c r="I187" s="69"/>
      <c r="J187" s="69"/>
      <c r="K187" s="68"/>
      <c r="L187" s="70"/>
      <c r="M187" s="69"/>
      <c r="N187" s="68"/>
      <c r="O187" s="69"/>
      <c r="P187" s="69"/>
      <c r="Q187" s="41"/>
      <c r="R187" s="46"/>
      <c r="S187" s="67"/>
      <c r="T187" s="141"/>
    </row>
    <row r="188" spans="4:20">
      <c r="D188" s="42"/>
      <c r="E188" s="66"/>
      <c r="F188" s="67"/>
      <c r="G188" s="67"/>
      <c r="H188" s="68"/>
      <c r="I188" s="69"/>
      <c r="J188" s="69"/>
      <c r="K188" s="68"/>
      <c r="L188" s="70"/>
      <c r="M188" s="69"/>
      <c r="N188" s="68"/>
      <c r="O188" s="69"/>
      <c r="P188" s="69"/>
      <c r="Q188" s="41"/>
      <c r="R188" s="46"/>
      <c r="S188" s="67"/>
      <c r="T188" s="141"/>
    </row>
    <row r="189" spans="4:20">
      <c r="D189" s="42"/>
      <c r="E189" s="66"/>
      <c r="F189" s="67"/>
      <c r="G189" s="67"/>
      <c r="H189" s="68"/>
      <c r="I189" s="69"/>
      <c r="J189" s="69"/>
      <c r="K189" s="68"/>
      <c r="L189" s="70"/>
      <c r="M189" s="69"/>
      <c r="N189" s="68"/>
      <c r="O189" s="69"/>
      <c r="P189" s="69"/>
      <c r="Q189" s="41"/>
      <c r="R189" s="46"/>
      <c r="S189" s="67"/>
      <c r="T189" s="141"/>
    </row>
    <row r="190" spans="4:20">
      <c r="D190" s="42"/>
      <c r="E190" s="66"/>
      <c r="F190" s="67"/>
      <c r="G190" s="67"/>
      <c r="H190" s="68"/>
      <c r="I190" s="69"/>
      <c r="J190" s="69"/>
      <c r="K190" s="68"/>
      <c r="L190" s="70"/>
      <c r="M190" s="69"/>
      <c r="N190" s="68"/>
      <c r="O190" s="69"/>
      <c r="P190" s="69"/>
      <c r="Q190" s="41"/>
      <c r="R190" s="46"/>
      <c r="S190" s="67"/>
      <c r="T190" s="141"/>
    </row>
    <row r="191" spans="4:20">
      <c r="D191" s="42"/>
      <c r="E191" s="66"/>
      <c r="F191" s="67"/>
      <c r="G191" s="67"/>
      <c r="H191" s="68"/>
      <c r="I191" s="69"/>
      <c r="J191" s="69"/>
      <c r="K191" s="68"/>
      <c r="L191" s="70"/>
      <c r="M191" s="69"/>
      <c r="N191" s="68"/>
      <c r="O191" s="69"/>
      <c r="P191" s="69"/>
      <c r="Q191" s="41"/>
      <c r="R191" s="46"/>
      <c r="S191" s="67"/>
      <c r="T191" s="141"/>
    </row>
    <row r="192" spans="4:20">
      <c r="D192" s="42"/>
      <c r="E192" s="66"/>
      <c r="F192" s="67"/>
      <c r="G192" s="67"/>
      <c r="H192" s="68"/>
      <c r="I192" s="69"/>
      <c r="J192" s="69"/>
      <c r="K192" s="68"/>
      <c r="L192" s="70"/>
      <c r="M192" s="69"/>
      <c r="N192" s="68"/>
      <c r="O192" s="69"/>
      <c r="P192" s="69"/>
      <c r="Q192" s="41"/>
      <c r="R192" s="46"/>
      <c r="S192" s="67"/>
      <c r="T192" s="141"/>
    </row>
    <row r="193" spans="4:20">
      <c r="D193" s="42"/>
      <c r="E193" s="66"/>
      <c r="F193" s="67"/>
      <c r="G193" s="67"/>
      <c r="H193" s="68"/>
      <c r="I193" s="69"/>
      <c r="J193" s="69"/>
      <c r="K193" s="68"/>
      <c r="L193" s="70"/>
      <c r="M193" s="69"/>
      <c r="N193" s="68"/>
      <c r="O193" s="69"/>
      <c r="P193" s="69"/>
      <c r="Q193" s="41"/>
      <c r="R193" s="46"/>
      <c r="S193" s="67"/>
      <c r="T193" s="141"/>
    </row>
    <row r="194" spans="4:20">
      <c r="D194" s="42"/>
      <c r="E194" s="66"/>
      <c r="F194" s="67"/>
      <c r="G194" s="67"/>
      <c r="H194" s="68"/>
      <c r="I194" s="69"/>
      <c r="J194" s="69"/>
      <c r="K194" s="68"/>
      <c r="L194" s="70"/>
      <c r="M194" s="69"/>
      <c r="N194" s="68"/>
      <c r="O194" s="69"/>
      <c r="P194" s="69"/>
      <c r="Q194" s="41"/>
      <c r="R194" s="46"/>
      <c r="S194" s="67"/>
      <c r="T194" s="141"/>
    </row>
    <row r="195" spans="4:20">
      <c r="D195" s="42"/>
      <c r="E195" s="66"/>
      <c r="F195" s="67"/>
      <c r="G195" s="67"/>
      <c r="H195" s="68"/>
      <c r="I195" s="69"/>
      <c r="J195" s="69"/>
      <c r="K195" s="68"/>
      <c r="L195" s="70"/>
      <c r="M195" s="69"/>
      <c r="N195" s="68"/>
      <c r="O195" s="69"/>
      <c r="P195" s="69"/>
      <c r="Q195" s="41"/>
      <c r="R195" s="46"/>
      <c r="S195" s="67"/>
      <c r="T195" s="141"/>
    </row>
    <row r="196" spans="4:20">
      <c r="D196" s="42"/>
      <c r="E196" s="66"/>
      <c r="F196" s="67"/>
      <c r="G196" s="67"/>
      <c r="H196" s="68"/>
      <c r="I196" s="69"/>
      <c r="J196" s="69"/>
      <c r="K196" s="68"/>
      <c r="L196" s="70"/>
      <c r="M196" s="69"/>
      <c r="N196" s="68"/>
      <c r="O196" s="69"/>
      <c r="P196" s="69"/>
      <c r="Q196" s="41"/>
      <c r="R196" s="46"/>
      <c r="S196" s="67"/>
      <c r="T196" s="141"/>
    </row>
    <row r="197" spans="4:20">
      <c r="D197" s="42"/>
      <c r="E197" s="66"/>
      <c r="F197" s="67"/>
      <c r="G197" s="67"/>
      <c r="H197" s="68"/>
      <c r="I197" s="69"/>
      <c r="J197" s="69"/>
      <c r="K197" s="68"/>
      <c r="L197" s="70"/>
      <c r="M197" s="69"/>
      <c r="N197" s="68"/>
      <c r="O197" s="69"/>
      <c r="P197" s="69"/>
      <c r="Q197" s="41"/>
      <c r="R197" s="46"/>
      <c r="S197" s="67"/>
      <c r="T197" s="141"/>
    </row>
    <row r="198" spans="4:20">
      <c r="D198" s="42"/>
      <c r="E198" s="66"/>
      <c r="F198" s="67"/>
      <c r="G198" s="67"/>
      <c r="H198" s="68"/>
      <c r="I198" s="69"/>
      <c r="J198" s="69"/>
      <c r="K198" s="68"/>
      <c r="L198" s="70"/>
      <c r="M198" s="69"/>
      <c r="N198" s="68"/>
      <c r="O198" s="69"/>
      <c r="P198" s="69"/>
      <c r="Q198" s="41"/>
      <c r="R198" s="46"/>
      <c r="S198" s="67"/>
      <c r="T198" s="141"/>
    </row>
  </sheetData>
  <sortState ref="D6:T13">
    <sortCondition ref="E6"/>
  </sortState>
  <phoneticPr fontId="1"/>
  <conditionalFormatting sqref="U6:V69">
    <cfRule type="containsErrors" dxfId="3" priority="4">
      <formula>ISERROR(U6)</formula>
    </cfRule>
  </conditionalFormatting>
  <conditionalFormatting sqref="F6:F69">
    <cfRule type="expression" dxfId="2" priority="2">
      <formula>ISERROR($U6)</formula>
    </cfRule>
  </conditionalFormatting>
  <conditionalFormatting sqref="G6:G69">
    <cfRule type="expression" dxfId="1" priority="1">
      <formula>ISERROR($V6)</formula>
    </cfRule>
  </conditionalFormatting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44"/>
  </sheetPr>
  <dimension ref="A1:AO34"/>
  <sheetViews>
    <sheetView zoomScale="175" zoomScaleNormal="175" workbookViewId="0">
      <selection activeCell="AB5" sqref="AB5"/>
    </sheetView>
  </sheetViews>
  <sheetFormatPr defaultRowHeight="13.5"/>
  <cols>
    <col min="1" max="1" width="1.625" style="2" customWidth="1"/>
    <col min="2" max="2" width="2.25" style="2" customWidth="1"/>
    <col min="3" max="5" width="2.625" style="2" customWidth="1"/>
    <col min="6" max="6" width="1.875" style="2" customWidth="1"/>
    <col min="7" max="8" width="2.625" style="2" customWidth="1"/>
    <col min="9" max="9" width="3.375" style="127" customWidth="1"/>
    <col min="10" max="12" width="2.625" style="2" customWidth="1"/>
    <col min="13" max="13" width="3.375" style="127" customWidth="1"/>
    <col min="14" max="16" width="2.625" style="2" customWidth="1"/>
    <col min="17" max="17" width="3.375" style="127" customWidth="1"/>
    <col min="18" max="18" width="1.875" style="2" customWidth="1"/>
    <col min="19" max="19" width="2.25" style="2" customWidth="1"/>
    <col min="20" max="20" width="1.625" style="2" customWidth="1"/>
    <col min="21" max="21" width="2.625" style="1" customWidth="1"/>
    <col min="22" max="22" width="1.625" style="2" customWidth="1"/>
    <col min="23" max="23" width="2.25" style="2" customWidth="1"/>
    <col min="24" max="26" width="2.625" style="2" customWidth="1"/>
    <col min="27" max="27" width="1.875" style="2" customWidth="1"/>
    <col min="28" max="29" width="2.625" style="2" customWidth="1"/>
    <col min="30" max="30" width="3.375" style="127" customWidth="1"/>
    <col min="31" max="33" width="2.625" style="2" customWidth="1"/>
    <col min="34" max="34" width="3.375" style="127" customWidth="1"/>
    <col min="35" max="37" width="2.625" style="2" customWidth="1"/>
    <col min="38" max="38" width="3.375" style="127" customWidth="1"/>
    <col min="39" max="39" width="1.875" style="2" customWidth="1"/>
    <col min="40" max="40" width="2.25" style="2" customWidth="1"/>
    <col min="41" max="41" width="1.625" style="2" customWidth="1"/>
    <col min="42" max="16384" width="9" style="2"/>
  </cols>
  <sheetData>
    <row r="1" spans="1:41" ht="13.5" customHeight="1">
      <c r="A1" s="1"/>
      <c r="B1" s="1"/>
      <c r="C1" s="1"/>
      <c r="D1" s="1"/>
      <c r="E1" s="1"/>
      <c r="F1" s="1"/>
      <c r="G1" s="1"/>
      <c r="H1" s="1"/>
      <c r="I1" s="120"/>
      <c r="J1" s="1"/>
      <c r="K1" s="1"/>
      <c r="L1" s="1"/>
      <c r="M1" s="120"/>
      <c r="N1" s="1"/>
      <c r="O1" s="1"/>
      <c r="P1" s="1"/>
      <c r="Q1" s="120"/>
      <c r="R1" s="1"/>
      <c r="S1" s="1"/>
      <c r="T1" s="1"/>
      <c r="V1" s="1"/>
      <c r="W1" s="1"/>
      <c r="X1" s="1"/>
      <c r="Y1" s="1"/>
      <c r="Z1" s="1"/>
      <c r="AA1" s="1"/>
      <c r="AB1" s="1"/>
      <c r="AC1" s="1"/>
      <c r="AD1" s="120"/>
      <c r="AE1" s="1"/>
      <c r="AF1" s="1"/>
      <c r="AG1" s="1"/>
      <c r="AH1" s="120"/>
      <c r="AI1" s="1"/>
      <c r="AJ1" s="1"/>
      <c r="AK1" s="1"/>
      <c r="AL1" s="120"/>
      <c r="AM1" s="1"/>
      <c r="AN1" s="1"/>
      <c r="AO1" s="1"/>
    </row>
    <row r="2" spans="1:41">
      <c r="A2" s="1"/>
      <c r="B2" s="3"/>
      <c r="C2" s="4"/>
      <c r="D2" s="4"/>
      <c r="E2" s="4"/>
      <c r="F2" s="4"/>
      <c r="G2" s="4"/>
      <c r="H2" s="4"/>
      <c r="I2" s="121"/>
      <c r="J2" s="4"/>
      <c r="K2" s="4"/>
      <c r="L2" s="4"/>
      <c r="M2" s="121"/>
      <c r="N2" s="4"/>
      <c r="O2" s="4"/>
      <c r="P2" s="4"/>
      <c r="Q2" s="121"/>
      <c r="R2" s="4"/>
      <c r="S2" s="5"/>
      <c r="T2" s="1"/>
      <c r="V2" s="1"/>
      <c r="W2" s="3"/>
      <c r="X2" s="4"/>
      <c r="Y2" s="4"/>
      <c r="Z2" s="4"/>
      <c r="AA2" s="4"/>
      <c r="AB2" s="4"/>
      <c r="AC2" s="4"/>
      <c r="AD2" s="121"/>
      <c r="AE2" s="4"/>
      <c r="AF2" s="4"/>
      <c r="AG2" s="4"/>
      <c r="AH2" s="121"/>
      <c r="AI2" s="4"/>
      <c r="AJ2" s="4"/>
      <c r="AK2" s="4"/>
      <c r="AL2" s="121"/>
      <c r="AM2" s="4"/>
      <c r="AN2" s="5"/>
      <c r="AO2" s="1"/>
    </row>
    <row r="3" spans="1:41">
      <c r="A3" s="1"/>
      <c r="B3" s="6"/>
      <c r="C3" s="1"/>
      <c r="D3" s="1"/>
      <c r="E3" s="1"/>
      <c r="F3" s="1"/>
      <c r="G3" s="1"/>
      <c r="H3" s="1"/>
      <c r="I3" s="120"/>
      <c r="J3" s="1"/>
      <c r="K3" s="7" t="s">
        <v>0</v>
      </c>
      <c r="L3" s="1"/>
      <c r="M3" s="120"/>
      <c r="N3" s="1"/>
      <c r="O3" s="1"/>
      <c r="P3" s="1"/>
      <c r="Q3" s="120"/>
      <c r="R3" s="1"/>
      <c r="S3" s="8"/>
      <c r="T3" s="1"/>
      <c r="V3" s="1"/>
      <c r="W3" s="6"/>
      <c r="X3" s="1"/>
      <c r="Y3" s="1"/>
      <c r="Z3" s="1"/>
      <c r="AA3" s="1"/>
      <c r="AB3" s="1"/>
      <c r="AC3" s="1"/>
      <c r="AD3" s="120"/>
      <c r="AE3" s="1"/>
      <c r="AF3" s="7" t="s">
        <v>0</v>
      </c>
      <c r="AG3" s="1"/>
      <c r="AH3" s="120"/>
      <c r="AI3" s="1"/>
      <c r="AJ3" s="1"/>
      <c r="AK3" s="1"/>
      <c r="AL3" s="120"/>
      <c r="AM3" s="1"/>
      <c r="AN3" s="8"/>
      <c r="AO3" s="1"/>
    </row>
    <row r="4" spans="1:41" ht="6.95" customHeight="1">
      <c r="A4" s="1"/>
      <c r="B4" s="6"/>
      <c r="C4" s="1"/>
      <c r="D4" s="1"/>
      <c r="E4" s="1"/>
      <c r="F4" s="1"/>
      <c r="G4" s="1"/>
      <c r="H4" s="1"/>
      <c r="I4" s="120"/>
      <c r="J4" s="1"/>
      <c r="K4" s="1"/>
      <c r="L4" s="1"/>
      <c r="M4" s="120"/>
      <c r="N4" s="1"/>
      <c r="O4" s="1"/>
      <c r="P4" s="1"/>
      <c r="Q4" s="120"/>
      <c r="R4" s="1"/>
      <c r="S4" s="8"/>
      <c r="T4" s="1"/>
      <c r="V4" s="1"/>
      <c r="W4" s="6"/>
      <c r="X4" s="1"/>
      <c r="Y4" s="1"/>
      <c r="Z4" s="1"/>
      <c r="AA4" s="1"/>
      <c r="AB4" s="1"/>
      <c r="AC4" s="1"/>
      <c r="AD4" s="120"/>
      <c r="AE4" s="1"/>
      <c r="AF4" s="1"/>
      <c r="AG4" s="1"/>
      <c r="AH4" s="120"/>
      <c r="AI4" s="1"/>
      <c r="AJ4" s="1"/>
      <c r="AK4" s="1"/>
      <c r="AL4" s="120"/>
      <c r="AM4" s="1"/>
      <c r="AN4" s="8"/>
      <c r="AO4" s="1"/>
    </row>
    <row r="5" spans="1:41" ht="21" customHeight="1">
      <c r="A5" s="1"/>
      <c r="B5" s="6"/>
      <c r="C5" s="9"/>
      <c r="D5" s="10" t="s">
        <v>1</v>
      </c>
      <c r="E5" s="11"/>
      <c r="F5" s="12"/>
      <c r="G5" s="13" t="str">
        <f>入力!$U$6&amp;" 御中"</f>
        <v xml:space="preserve"> 御中</v>
      </c>
      <c r="H5" s="14"/>
      <c r="I5" s="122"/>
      <c r="J5" s="14"/>
      <c r="K5" s="14"/>
      <c r="L5" s="14"/>
      <c r="M5" s="122"/>
      <c r="N5" s="14"/>
      <c r="O5" s="14"/>
      <c r="P5" s="14"/>
      <c r="Q5" s="122"/>
      <c r="R5" s="15"/>
      <c r="S5" s="8"/>
      <c r="T5" s="1"/>
      <c r="V5" s="1"/>
      <c r="W5" s="6"/>
      <c r="X5" s="9"/>
      <c r="Y5" s="10" t="s">
        <v>1</v>
      </c>
      <c r="Z5" s="11"/>
      <c r="AA5" s="12"/>
      <c r="AB5" s="40" t="str">
        <f>入力!$U$7&amp;" 御中"</f>
        <v xml:space="preserve"> 御中</v>
      </c>
      <c r="AC5" s="14"/>
      <c r="AD5" s="122"/>
      <c r="AE5" s="14"/>
      <c r="AF5" s="14"/>
      <c r="AG5" s="14"/>
      <c r="AH5" s="122"/>
      <c r="AI5" s="14"/>
      <c r="AJ5" s="14"/>
      <c r="AK5" s="14"/>
      <c r="AL5" s="122"/>
      <c r="AM5" s="15"/>
      <c r="AN5" s="8"/>
      <c r="AO5" s="1"/>
    </row>
    <row r="6" spans="1:41" ht="21" customHeight="1">
      <c r="A6" s="1"/>
      <c r="B6" s="6"/>
      <c r="C6" s="9"/>
      <c r="D6" s="10" t="s">
        <v>2</v>
      </c>
      <c r="E6" s="11"/>
      <c r="F6" s="12"/>
      <c r="G6" s="13" t="str">
        <f>ASC(入力!$V$6)</f>
        <v/>
      </c>
      <c r="H6" s="14"/>
      <c r="I6" s="122"/>
      <c r="J6" s="14"/>
      <c r="K6" s="14"/>
      <c r="L6" s="14"/>
      <c r="M6" s="122"/>
      <c r="N6" s="14"/>
      <c r="O6" s="14"/>
      <c r="P6" s="14"/>
      <c r="Q6" s="122"/>
      <c r="R6" s="15"/>
      <c r="S6" s="8"/>
      <c r="T6" s="1"/>
      <c r="V6" s="1"/>
      <c r="W6" s="6"/>
      <c r="X6" s="9"/>
      <c r="Y6" s="10" t="s">
        <v>2</v>
      </c>
      <c r="Z6" s="11"/>
      <c r="AA6" s="12"/>
      <c r="AB6" s="40" t="str">
        <f>ASC(入力!$V$7)</f>
        <v/>
      </c>
      <c r="AC6" s="14"/>
      <c r="AD6" s="122"/>
      <c r="AE6" s="14"/>
      <c r="AF6" s="14"/>
      <c r="AG6" s="14"/>
      <c r="AH6" s="122"/>
      <c r="AI6" s="14"/>
      <c r="AJ6" s="14"/>
      <c r="AK6" s="14"/>
      <c r="AL6" s="122"/>
      <c r="AM6" s="15"/>
      <c r="AN6" s="8"/>
      <c r="AO6" s="1"/>
    </row>
    <row r="7" spans="1:41" ht="6.95" customHeight="1">
      <c r="A7" s="1"/>
      <c r="B7" s="6"/>
      <c r="C7" s="155" t="s">
        <v>3</v>
      </c>
      <c r="D7" s="156"/>
      <c r="E7" s="157"/>
      <c r="F7" s="16"/>
      <c r="G7" s="169">
        <f>入力!$H$6</f>
        <v>0</v>
      </c>
      <c r="H7" s="169"/>
      <c r="I7" s="132">
        <f>IF(G7="","",入力!$I$6)</f>
        <v>0</v>
      </c>
      <c r="J7" s="166" t="s">
        <v>7</v>
      </c>
      <c r="K7" s="169">
        <f>入力!$K$6</f>
        <v>0</v>
      </c>
      <c r="L7" s="169"/>
      <c r="M7" s="132">
        <f>IF(K7="","",入力!$L$6)</f>
        <v>0</v>
      </c>
      <c r="N7" s="166" t="str">
        <f>IF(O7="","","×")</f>
        <v/>
      </c>
      <c r="O7" s="169" t="str">
        <f>ASC(入力!$N$6)</f>
        <v/>
      </c>
      <c r="P7" s="169"/>
      <c r="Q7" s="132" t="str">
        <f>IF(O7="","",入力!$O$6)</f>
        <v/>
      </c>
      <c r="R7" s="18"/>
      <c r="S7" s="8"/>
      <c r="T7" s="1"/>
      <c r="V7" s="1"/>
      <c r="W7" s="6"/>
      <c r="X7" s="155" t="s">
        <v>3</v>
      </c>
      <c r="Y7" s="156"/>
      <c r="Z7" s="157"/>
      <c r="AA7" s="16"/>
      <c r="AB7" s="169">
        <f>入力!$H$7</f>
        <v>0</v>
      </c>
      <c r="AC7" s="169"/>
      <c r="AD7" s="132">
        <f>IF(AB7="","",入力!$I$7)</f>
        <v>0</v>
      </c>
      <c r="AE7" s="166" t="s">
        <v>7</v>
      </c>
      <c r="AF7" s="169">
        <f>入力!$K$7</f>
        <v>0</v>
      </c>
      <c r="AG7" s="169"/>
      <c r="AH7" s="132">
        <f>IF(AF7="","",入力!$L$7)</f>
        <v>0</v>
      </c>
      <c r="AI7" s="166" t="str">
        <f>IF(AJ7="","","×")</f>
        <v/>
      </c>
      <c r="AJ7" s="169" t="str">
        <f>ASC(入力!$N$7)</f>
        <v/>
      </c>
      <c r="AK7" s="169"/>
      <c r="AL7" s="132" t="str">
        <f>IF(AJ7="","",入力!$O$7)</f>
        <v/>
      </c>
      <c r="AM7" s="18"/>
      <c r="AN7" s="8"/>
      <c r="AO7" s="1"/>
    </row>
    <row r="8" spans="1:41" ht="6.95" customHeight="1">
      <c r="A8" s="1"/>
      <c r="B8" s="6"/>
      <c r="C8" s="158"/>
      <c r="D8" s="159"/>
      <c r="E8" s="160"/>
      <c r="F8" s="19"/>
      <c r="G8" s="170"/>
      <c r="H8" s="170"/>
      <c r="I8" s="133">
        <f>IF(G7="","",入力!$J$6)</f>
        <v>0</v>
      </c>
      <c r="J8" s="167"/>
      <c r="K8" s="170"/>
      <c r="L8" s="170"/>
      <c r="M8" s="133">
        <f>IF(K7="","",入力!$M$6)</f>
        <v>0</v>
      </c>
      <c r="N8" s="167"/>
      <c r="O8" s="170"/>
      <c r="P8" s="170"/>
      <c r="Q8" s="134" t="str">
        <f>IF(O7="","",入力!$P$6)</f>
        <v/>
      </c>
      <c r="R8" s="20"/>
      <c r="S8" s="8"/>
      <c r="T8" s="1"/>
      <c r="V8" s="1"/>
      <c r="W8" s="6"/>
      <c r="X8" s="158"/>
      <c r="Y8" s="159"/>
      <c r="Z8" s="160"/>
      <c r="AA8" s="19"/>
      <c r="AB8" s="170"/>
      <c r="AC8" s="170"/>
      <c r="AD8" s="133">
        <f>IF(AB7="","",入力!$J$7)</f>
        <v>0</v>
      </c>
      <c r="AE8" s="167"/>
      <c r="AF8" s="170"/>
      <c r="AG8" s="170"/>
      <c r="AH8" s="133">
        <f>IF(AF7="","",入力!$M$7)</f>
        <v>0</v>
      </c>
      <c r="AI8" s="167"/>
      <c r="AJ8" s="170"/>
      <c r="AK8" s="170"/>
      <c r="AL8" s="134" t="str">
        <f>IF(AJ7="","",入力!$P$7)</f>
        <v/>
      </c>
      <c r="AM8" s="20"/>
      <c r="AN8" s="8"/>
      <c r="AO8" s="1"/>
    </row>
    <row r="9" spans="1:41" ht="6.95" customHeight="1">
      <c r="A9" s="1"/>
      <c r="B9" s="6"/>
      <c r="C9" s="161"/>
      <c r="D9" s="162"/>
      <c r="E9" s="163"/>
      <c r="F9" s="21"/>
      <c r="G9" s="171"/>
      <c r="H9" s="171"/>
      <c r="I9" s="123"/>
      <c r="J9" s="168"/>
      <c r="K9" s="171"/>
      <c r="L9" s="171"/>
      <c r="M9" s="123"/>
      <c r="N9" s="168"/>
      <c r="O9" s="171"/>
      <c r="P9" s="171"/>
      <c r="Q9" s="125"/>
      <c r="R9" s="23"/>
      <c r="S9" s="8"/>
      <c r="T9" s="1"/>
      <c r="V9" s="1"/>
      <c r="W9" s="6"/>
      <c r="X9" s="161"/>
      <c r="Y9" s="162"/>
      <c r="Z9" s="163"/>
      <c r="AA9" s="21"/>
      <c r="AB9" s="171"/>
      <c r="AC9" s="171"/>
      <c r="AD9" s="123"/>
      <c r="AE9" s="168"/>
      <c r="AF9" s="171"/>
      <c r="AG9" s="171"/>
      <c r="AH9" s="123"/>
      <c r="AI9" s="168"/>
      <c r="AJ9" s="171"/>
      <c r="AK9" s="171"/>
      <c r="AL9" s="125"/>
      <c r="AM9" s="23"/>
      <c r="AN9" s="8"/>
      <c r="AO9" s="1"/>
    </row>
    <row r="10" spans="1:41" ht="21" customHeight="1">
      <c r="A10" s="1"/>
      <c r="B10" s="6"/>
      <c r="C10" s="9"/>
      <c r="D10" s="10" t="s">
        <v>4</v>
      </c>
      <c r="E10" s="11"/>
      <c r="F10" s="12"/>
      <c r="G10" s="13"/>
      <c r="H10" s="14"/>
      <c r="I10" s="122"/>
      <c r="J10" s="14"/>
      <c r="K10" s="13">
        <f>入力!$Q$6</f>
        <v>0</v>
      </c>
      <c r="L10" s="13" t="str">
        <f>ASC(入力!$Q$3)</f>
        <v>p</v>
      </c>
      <c r="M10" s="122"/>
      <c r="N10" s="14"/>
      <c r="O10" s="14"/>
      <c r="P10" s="14"/>
      <c r="Q10" s="122"/>
      <c r="R10" s="15"/>
      <c r="S10" s="8"/>
      <c r="T10" s="1"/>
      <c r="V10" s="1"/>
      <c r="W10" s="6"/>
      <c r="X10" s="9"/>
      <c r="Y10" s="10" t="s">
        <v>4</v>
      </c>
      <c r="Z10" s="11"/>
      <c r="AA10" s="12"/>
      <c r="AB10" s="40"/>
      <c r="AC10" s="14"/>
      <c r="AD10" s="122"/>
      <c r="AE10" s="14"/>
      <c r="AF10" s="40">
        <f>入力!$Q$7</f>
        <v>0</v>
      </c>
      <c r="AG10" s="40" t="str">
        <f>ASC(入力!$Q$3)</f>
        <v>p</v>
      </c>
      <c r="AH10" s="122"/>
      <c r="AI10" s="14"/>
      <c r="AJ10" s="14"/>
      <c r="AK10" s="14"/>
      <c r="AL10" s="122"/>
      <c r="AM10" s="15"/>
      <c r="AN10" s="8"/>
      <c r="AO10" s="1"/>
    </row>
    <row r="11" spans="1:41" ht="15.95" customHeight="1">
      <c r="A11" s="1"/>
      <c r="B11" s="6"/>
      <c r="C11" s="24" t="s">
        <v>5</v>
      </c>
      <c r="D11" s="17"/>
      <c r="E11" s="17"/>
      <c r="F11" s="17"/>
      <c r="G11" s="17"/>
      <c r="H11" s="17"/>
      <c r="I11" s="124"/>
      <c r="J11" s="17"/>
      <c r="K11" s="17"/>
      <c r="L11" s="25" t="s">
        <v>6</v>
      </c>
      <c r="M11" s="124"/>
      <c r="N11" s="17"/>
      <c r="O11" s="17"/>
      <c r="P11" s="17"/>
      <c r="Q11" s="124"/>
      <c r="R11" s="18"/>
      <c r="S11" s="8"/>
      <c r="T11" s="1"/>
      <c r="V11" s="1"/>
      <c r="W11" s="6"/>
      <c r="X11" s="24" t="s">
        <v>5</v>
      </c>
      <c r="Y11" s="17"/>
      <c r="Z11" s="17"/>
      <c r="AA11" s="17"/>
      <c r="AB11" s="17"/>
      <c r="AC11" s="17"/>
      <c r="AD11" s="124"/>
      <c r="AE11" s="17"/>
      <c r="AF11" s="17"/>
      <c r="AG11" s="25" t="s">
        <v>6</v>
      </c>
      <c r="AH11" s="124"/>
      <c r="AI11" s="17"/>
      <c r="AJ11" s="17"/>
      <c r="AK11" s="17"/>
      <c r="AL11" s="124"/>
      <c r="AM11" s="18"/>
      <c r="AN11" s="8"/>
      <c r="AO11" s="1"/>
    </row>
    <row r="12" spans="1:41">
      <c r="A12" s="1"/>
      <c r="B12" s="6"/>
      <c r="C12" s="19"/>
      <c r="D12" s="65" t="str">
        <f>ASC(入力!$S$6)</f>
        <v/>
      </c>
      <c r="E12" s="1"/>
      <c r="F12" s="1"/>
      <c r="G12" s="1"/>
      <c r="H12" s="1"/>
      <c r="I12" s="120"/>
      <c r="J12" s="1"/>
      <c r="K12" s="1"/>
      <c r="L12" s="1"/>
      <c r="M12" s="120"/>
      <c r="N12" s="1"/>
      <c r="O12" s="1"/>
      <c r="P12" s="1"/>
      <c r="Q12" s="120"/>
      <c r="R12" s="20"/>
      <c r="S12" s="8"/>
      <c r="T12" s="1"/>
      <c r="V12" s="1"/>
      <c r="W12" s="6"/>
      <c r="X12" s="19"/>
      <c r="Y12" s="65" t="str">
        <f>ASC(入力!$S$7)</f>
        <v/>
      </c>
      <c r="Z12" s="1"/>
      <c r="AA12" s="1"/>
      <c r="AB12" s="1"/>
      <c r="AC12" s="1"/>
      <c r="AD12" s="120"/>
      <c r="AE12" s="1"/>
      <c r="AF12" s="1"/>
      <c r="AG12" s="1"/>
      <c r="AH12" s="120"/>
      <c r="AI12" s="1"/>
      <c r="AJ12" s="1"/>
      <c r="AK12" s="1"/>
      <c r="AL12" s="120"/>
      <c r="AM12" s="20"/>
      <c r="AN12" s="8"/>
      <c r="AO12" s="1"/>
    </row>
    <row r="13" spans="1:41">
      <c r="A13" s="1"/>
      <c r="B13" s="6"/>
      <c r="C13" s="19"/>
      <c r="D13" s="65" t="str">
        <f>ASC(入力!$R$6)</f>
        <v/>
      </c>
      <c r="E13" s="1"/>
      <c r="F13" s="1"/>
      <c r="G13" s="1"/>
      <c r="H13" s="1"/>
      <c r="I13" s="120"/>
      <c r="J13" s="1"/>
      <c r="K13" s="1"/>
      <c r="L13" s="1"/>
      <c r="M13" s="120"/>
      <c r="N13" s="1"/>
      <c r="O13" s="1"/>
      <c r="P13" s="1"/>
      <c r="Q13" s="120"/>
      <c r="R13" s="20"/>
      <c r="S13" s="8"/>
      <c r="T13" s="1"/>
      <c r="V13" s="1"/>
      <c r="W13" s="6"/>
      <c r="X13" s="19"/>
      <c r="Y13" s="65" t="str">
        <f>ASC(入力!$R$7)</f>
        <v/>
      </c>
      <c r="Z13" s="1"/>
      <c r="AA13" s="1"/>
      <c r="AB13" s="1"/>
      <c r="AC13" s="1"/>
      <c r="AD13" s="120"/>
      <c r="AE13" s="1"/>
      <c r="AF13" s="1"/>
      <c r="AG13" s="1"/>
      <c r="AH13" s="120"/>
      <c r="AI13" s="1"/>
      <c r="AJ13" s="1"/>
      <c r="AK13" s="1"/>
      <c r="AL13" s="120"/>
      <c r="AM13" s="20"/>
      <c r="AN13" s="8"/>
      <c r="AO13" s="1"/>
    </row>
    <row r="14" spans="1:41">
      <c r="A14" s="1"/>
      <c r="B14" s="6"/>
      <c r="C14" s="21"/>
      <c r="D14" s="30" t="str">
        <f>IF(入力!$T$6="","",入力!$T$6)</f>
        <v/>
      </c>
      <c r="E14" s="22"/>
      <c r="F14" s="22"/>
      <c r="G14" s="22"/>
      <c r="H14" s="22"/>
      <c r="I14" s="125"/>
      <c r="J14" s="22"/>
      <c r="K14" s="22"/>
      <c r="L14" s="22"/>
      <c r="M14" s="125"/>
      <c r="N14" s="22"/>
      <c r="O14" s="22"/>
      <c r="P14" s="22"/>
      <c r="Q14" s="125"/>
      <c r="R14" s="23"/>
      <c r="S14" s="8"/>
      <c r="T14" s="1"/>
      <c r="V14" s="1"/>
      <c r="W14" s="6"/>
      <c r="X14" s="21"/>
      <c r="Y14" s="30" t="str">
        <f>IF(入力!$T$7="","",入力!$T$7)</f>
        <v/>
      </c>
      <c r="Z14" s="22"/>
      <c r="AA14" s="22"/>
      <c r="AB14" s="22"/>
      <c r="AC14" s="22"/>
      <c r="AD14" s="125"/>
      <c r="AE14" s="22"/>
      <c r="AF14" s="22"/>
      <c r="AG14" s="22"/>
      <c r="AH14" s="125"/>
      <c r="AI14" s="22"/>
      <c r="AJ14" s="22"/>
      <c r="AK14" s="22"/>
      <c r="AL14" s="125"/>
      <c r="AM14" s="23"/>
      <c r="AN14" s="8"/>
      <c r="AO14" s="1"/>
    </row>
    <row r="15" spans="1:41">
      <c r="A15" s="1"/>
      <c r="B15" s="26"/>
      <c r="C15" s="27"/>
      <c r="D15" s="27"/>
      <c r="E15" s="27"/>
      <c r="F15" s="27"/>
      <c r="G15" s="164" t="s">
        <v>45</v>
      </c>
      <c r="H15" s="164"/>
      <c r="I15" s="164"/>
      <c r="J15" s="164"/>
      <c r="K15" s="164"/>
      <c r="L15" s="164"/>
      <c r="M15" s="164"/>
      <c r="N15" s="164"/>
      <c r="O15" s="27"/>
      <c r="P15" s="27"/>
      <c r="Q15" s="128"/>
      <c r="R15" s="27"/>
      <c r="S15" s="28"/>
      <c r="T15" s="1"/>
      <c r="V15" s="1"/>
      <c r="W15" s="26"/>
      <c r="X15" s="27"/>
      <c r="Y15" s="27"/>
      <c r="Z15" s="27"/>
      <c r="AA15" s="27"/>
      <c r="AB15" s="164" t="s">
        <v>45</v>
      </c>
      <c r="AC15" s="164"/>
      <c r="AD15" s="164"/>
      <c r="AE15" s="164"/>
      <c r="AF15" s="164"/>
      <c r="AG15" s="164"/>
      <c r="AH15" s="164"/>
      <c r="AI15" s="164"/>
      <c r="AJ15" s="27"/>
      <c r="AK15" s="27"/>
      <c r="AL15" s="128"/>
      <c r="AM15" s="27"/>
      <c r="AN15" s="28"/>
      <c r="AO15" s="1"/>
    </row>
    <row r="16" spans="1:41" ht="9.9499999999999993" customHeight="1">
      <c r="A16" s="1"/>
      <c r="B16" s="1"/>
      <c r="C16" s="1"/>
      <c r="D16" s="1"/>
      <c r="E16" s="1"/>
      <c r="F16" s="1"/>
      <c r="G16" s="165"/>
      <c r="H16" s="165"/>
      <c r="I16" s="165"/>
      <c r="J16" s="165"/>
      <c r="K16" s="165"/>
      <c r="L16" s="165"/>
      <c r="M16" s="165"/>
      <c r="N16" s="165"/>
      <c r="O16" s="1"/>
      <c r="P16" s="1"/>
      <c r="Q16" s="120"/>
      <c r="R16" s="1"/>
      <c r="S16" s="1"/>
      <c r="T16" s="1"/>
      <c r="V16" s="1"/>
      <c r="W16" s="1"/>
      <c r="X16" s="1"/>
      <c r="Y16" s="1"/>
      <c r="Z16" s="1"/>
      <c r="AA16" s="1"/>
      <c r="AB16" s="165"/>
      <c r="AC16" s="165"/>
      <c r="AD16" s="165"/>
      <c r="AE16" s="165"/>
      <c r="AF16" s="165"/>
      <c r="AG16" s="165"/>
      <c r="AH16" s="165"/>
      <c r="AI16" s="165"/>
      <c r="AJ16" s="1"/>
      <c r="AK16" s="1"/>
      <c r="AL16" s="120"/>
      <c r="AM16" s="1"/>
      <c r="AN16" s="1"/>
      <c r="AO16" s="1"/>
    </row>
    <row r="17" spans="1:41">
      <c r="A17" s="1"/>
      <c r="B17" s="1"/>
      <c r="C17" s="1"/>
      <c r="D17" s="1"/>
      <c r="E17" s="1"/>
      <c r="F17" s="1"/>
      <c r="G17" s="29"/>
      <c r="H17" s="29"/>
      <c r="I17" s="126"/>
      <c r="J17" s="29"/>
      <c r="K17" s="29"/>
      <c r="L17" s="29"/>
      <c r="M17" s="126"/>
      <c r="N17" s="29"/>
      <c r="O17" s="1"/>
      <c r="P17" s="1"/>
      <c r="Q17" s="120"/>
      <c r="R17" s="1"/>
      <c r="S17" s="1"/>
      <c r="T17" s="1"/>
      <c r="V17" s="1"/>
      <c r="W17" s="1"/>
      <c r="X17" s="1"/>
      <c r="Y17" s="1"/>
      <c r="Z17" s="1"/>
      <c r="AA17" s="1"/>
      <c r="AB17" s="29"/>
      <c r="AC17" s="29"/>
      <c r="AD17" s="126"/>
      <c r="AE17" s="29"/>
      <c r="AF17" s="29"/>
      <c r="AG17" s="29"/>
      <c r="AH17" s="126"/>
      <c r="AI17" s="29"/>
      <c r="AJ17" s="1"/>
      <c r="AK17" s="1"/>
      <c r="AL17" s="120"/>
      <c r="AM17" s="1"/>
      <c r="AN17" s="1"/>
      <c r="AO17" s="1"/>
    </row>
    <row r="18" spans="1:41" ht="13.5" customHeight="1">
      <c r="A18" s="1"/>
      <c r="B18" s="1"/>
      <c r="C18" s="1"/>
      <c r="D18" s="1"/>
      <c r="E18" s="1"/>
      <c r="F18" s="1"/>
      <c r="G18" s="1"/>
      <c r="H18" s="1"/>
      <c r="I18" s="120"/>
      <c r="J18" s="1"/>
      <c r="K18" s="1"/>
      <c r="L18" s="1"/>
      <c r="M18" s="120"/>
      <c r="N18" s="1"/>
      <c r="O18" s="1"/>
      <c r="P18" s="1"/>
      <c r="Q18" s="120"/>
      <c r="R18" s="1"/>
      <c r="S18" s="1"/>
      <c r="T18" s="1"/>
      <c r="V18" s="1"/>
      <c r="W18" s="1"/>
      <c r="X18" s="1"/>
      <c r="Y18" s="1"/>
      <c r="Z18" s="1"/>
      <c r="AA18" s="1"/>
      <c r="AB18" s="1"/>
      <c r="AC18" s="1"/>
      <c r="AD18" s="120"/>
      <c r="AE18" s="1"/>
      <c r="AF18" s="1"/>
      <c r="AG18" s="1"/>
      <c r="AH18" s="120"/>
      <c r="AI18" s="1"/>
      <c r="AJ18" s="1"/>
      <c r="AK18" s="1"/>
      <c r="AL18" s="120"/>
      <c r="AM18" s="1"/>
      <c r="AN18" s="1"/>
      <c r="AO18" s="1"/>
    </row>
    <row r="19" spans="1:41">
      <c r="A19" s="1"/>
      <c r="B19" s="3"/>
      <c r="C19" s="4"/>
      <c r="D19" s="4"/>
      <c r="E19" s="4"/>
      <c r="F19" s="4"/>
      <c r="G19" s="4"/>
      <c r="H19" s="4"/>
      <c r="I19" s="121"/>
      <c r="J19" s="4"/>
      <c r="K19" s="4"/>
      <c r="L19" s="4"/>
      <c r="M19" s="121"/>
      <c r="N19" s="4"/>
      <c r="O19" s="4"/>
      <c r="P19" s="4"/>
      <c r="Q19" s="121"/>
      <c r="R19" s="4"/>
      <c r="S19" s="5"/>
      <c r="T19" s="1"/>
      <c r="V19" s="1"/>
      <c r="W19" s="3"/>
      <c r="X19" s="4"/>
      <c r="Y19" s="4"/>
      <c r="Z19" s="4"/>
      <c r="AA19" s="4"/>
      <c r="AB19" s="4"/>
      <c r="AC19" s="4"/>
      <c r="AD19" s="121"/>
      <c r="AE19" s="4"/>
      <c r="AF19" s="4"/>
      <c r="AG19" s="4"/>
      <c r="AH19" s="121"/>
      <c r="AI19" s="4"/>
      <c r="AJ19" s="4"/>
      <c r="AK19" s="4"/>
      <c r="AL19" s="121"/>
      <c r="AM19" s="4"/>
      <c r="AN19" s="5"/>
      <c r="AO19" s="1"/>
    </row>
    <row r="20" spans="1:41">
      <c r="A20" s="1"/>
      <c r="B20" s="6"/>
      <c r="C20" s="1"/>
      <c r="D20" s="1"/>
      <c r="E20" s="1"/>
      <c r="F20" s="1"/>
      <c r="G20" s="1"/>
      <c r="H20" s="1"/>
      <c r="I20" s="120"/>
      <c r="J20" s="1"/>
      <c r="K20" s="7" t="s">
        <v>0</v>
      </c>
      <c r="L20" s="1"/>
      <c r="M20" s="120"/>
      <c r="N20" s="1"/>
      <c r="O20" s="1"/>
      <c r="P20" s="1"/>
      <c r="Q20" s="120"/>
      <c r="R20" s="1"/>
      <c r="S20" s="8"/>
      <c r="T20" s="1"/>
      <c r="V20" s="1"/>
      <c r="W20" s="6"/>
      <c r="X20" s="1"/>
      <c r="Y20" s="1"/>
      <c r="Z20" s="1"/>
      <c r="AA20" s="1"/>
      <c r="AB20" s="1"/>
      <c r="AC20" s="1"/>
      <c r="AD20" s="120"/>
      <c r="AE20" s="1"/>
      <c r="AF20" s="7" t="s">
        <v>0</v>
      </c>
      <c r="AG20" s="1"/>
      <c r="AH20" s="120"/>
      <c r="AI20" s="1"/>
      <c r="AJ20" s="1"/>
      <c r="AK20" s="1"/>
      <c r="AL20" s="120"/>
      <c r="AM20" s="1"/>
      <c r="AN20" s="8"/>
      <c r="AO20" s="1"/>
    </row>
    <row r="21" spans="1:41" ht="6.95" customHeight="1">
      <c r="A21" s="1"/>
      <c r="B21" s="6"/>
      <c r="C21" s="1"/>
      <c r="D21" s="1"/>
      <c r="E21" s="1"/>
      <c r="F21" s="1"/>
      <c r="G21" s="1"/>
      <c r="H21" s="1"/>
      <c r="I21" s="120"/>
      <c r="J21" s="1"/>
      <c r="K21" s="1"/>
      <c r="L21" s="1"/>
      <c r="M21" s="120"/>
      <c r="N21" s="1"/>
      <c r="O21" s="1"/>
      <c r="P21" s="1"/>
      <c r="Q21" s="120"/>
      <c r="R21" s="1"/>
      <c r="S21" s="8"/>
      <c r="T21" s="1"/>
      <c r="V21" s="1"/>
      <c r="W21" s="6"/>
      <c r="X21" s="1"/>
      <c r="Y21" s="1"/>
      <c r="Z21" s="1"/>
      <c r="AA21" s="1"/>
      <c r="AB21" s="1"/>
      <c r="AC21" s="1"/>
      <c r="AD21" s="120"/>
      <c r="AE21" s="1"/>
      <c r="AF21" s="1"/>
      <c r="AG21" s="1"/>
      <c r="AH21" s="120"/>
      <c r="AI21" s="1"/>
      <c r="AJ21" s="1"/>
      <c r="AK21" s="1"/>
      <c r="AL21" s="120"/>
      <c r="AM21" s="1"/>
      <c r="AN21" s="8"/>
      <c r="AO21" s="1"/>
    </row>
    <row r="22" spans="1:41" ht="21" customHeight="1">
      <c r="A22" s="1"/>
      <c r="B22" s="6"/>
      <c r="C22" s="9"/>
      <c r="D22" s="10" t="s">
        <v>1</v>
      </c>
      <c r="E22" s="11"/>
      <c r="F22" s="12"/>
      <c r="G22" s="40" t="str">
        <f>入力!$U$8&amp;" 御中"</f>
        <v xml:space="preserve"> 御中</v>
      </c>
      <c r="H22" s="14"/>
      <c r="I22" s="122"/>
      <c r="J22" s="14"/>
      <c r="K22" s="14"/>
      <c r="L22" s="14"/>
      <c r="M22" s="122"/>
      <c r="N22" s="14"/>
      <c r="O22" s="14"/>
      <c r="P22" s="14"/>
      <c r="Q22" s="122"/>
      <c r="R22" s="15"/>
      <c r="S22" s="8"/>
      <c r="T22" s="1"/>
      <c r="V22" s="1"/>
      <c r="W22" s="6"/>
      <c r="X22" s="9"/>
      <c r="Y22" s="10" t="s">
        <v>1</v>
      </c>
      <c r="Z22" s="11"/>
      <c r="AA22" s="12"/>
      <c r="AB22" s="40" t="str">
        <f>入力!$U$9&amp;" 御中"</f>
        <v xml:space="preserve"> 御中</v>
      </c>
      <c r="AC22" s="14"/>
      <c r="AD22" s="122"/>
      <c r="AE22" s="14"/>
      <c r="AF22" s="14"/>
      <c r="AG22" s="14"/>
      <c r="AH22" s="122"/>
      <c r="AI22" s="14"/>
      <c r="AJ22" s="14"/>
      <c r="AK22" s="14"/>
      <c r="AL22" s="122"/>
      <c r="AM22" s="15"/>
      <c r="AN22" s="8"/>
      <c r="AO22" s="1"/>
    </row>
    <row r="23" spans="1:41" ht="21" customHeight="1">
      <c r="A23" s="1"/>
      <c r="B23" s="6"/>
      <c r="C23" s="9"/>
      <c r="D23" s="10" t="s">
        <v>2</v>
      </c>
      <c r="E23" s="11"/>
      <c r="F23" s="12"/>
      <c r="G23" s="40" t="str">
        <f>ASC(入力!$V$8)</f>
        <v/>
      </c>
      <c r="H23" s="14"/>
      <c r="I23" s="122"/>
      <c r="J23" s="14"/>
      <c r="K23" s="14"/>
      <c r="L23" s="14"/>
      <c r="M23" s="122"/>
      <c r="N23" s="14"/>
      <c r="O23" s="14"/>
      <c r="P23" s="14"/>
      <c r="Q23" s="122"/>
      <c r="R23" s="15"/>
      <c r="S23" s="8"/>
      <c r="T23" s="1"/>
      <c r="V23" s="1"/>
      <c r="W23" s="6"/>
      <c r="X23" s="9"/>
      <c r="Y23" s="10" t="s">
        <v>2</v>
      </c>
      <c r="Z23" s="11"/>
      <c r="AA23" s="12"/>
      <c r="AB23" s="40" t="str">
        <f>ASC(入力!$V$9)</f>
        <v/>
      </c>
      <c r="AC23" s="14"/>
      <c r="AD23" s="122"/>
      <c r="AE23" s="14"/>
      <c r="AF23" s="14"/>
      <c r="AG23" s="14"/>
      <c r="AH23" s="122"/>
      <c r="AI23" s="14"/>
      <c r="AJ23" s="14"/>
      <c r="AK23" s="14"/>
      <c r="AL23" s="122"/>
      <c r="AM23" s="15"/>
      <c r="AN23" s="8"/>
      <c r="AO23" s="1"/>
    </row>
    <row r="24" spans="1:41" ht="6.95" customHeight="1">
      <c r="A24" s="1"/>
      <c r="B24" s="6"/>
      <c r="C24" s="155" t="s">
        <v>3</v>
      </c>
      <c r="D24" s="156"/>
      <c r="E24" s="157"/>
      <c r="F24" s="16"/>
      <c r="G24" s="169">
        <f>入力!$H$8</f>
        <v>0</v>
      </c>
      <c r="H24" s="169"/>
      <c r="I24" s="132">
        <f>IF(G24="","",入力!$I$8)</f>
        <v>0</v>
      </c>
      <c r="J24" s="166" t="s">
        <v>7</v>
      </c>
      <c r="K24" s="169">
        <f>入力!$K$8</f>
        <v>0</v>
      </c>
      <c r="L24" s="169"/>
      <c r="M24" s="132">
        <f>IF(K24="","",入力!$L$8)</f>
        <v>0</v>
      </c>
      <c r="N24" s="166" t="str">
        <f>IF(O24="","","×")</f>
        <v/>
      </c>
      <c r="O24" s="169" t="str">
        <f>ASC(入力!$N$8)</f>
        <v/>
      </c>
      <c r="P24" s="169"/>
      <c r="Q24" s="132" t="str">
        <f>IF(O24="","",入力!$O$8)</f>
        <v/>
      </c>
      <c r="R24" s="18"/>
      <c r="S24" s="8"/>
      <c r="T24" s="1"/>
      <c r="V24" s="1"/>
      <c r="W24" s="6"/>
      <c r="X24" s="155" t="s">
        <v>3</v>
      </c>
      <c r="Y24" s="156"/>
      <c r="Z24" s="157"/>
      <c r="AA24" s="16"/>
      <c r="AB24" s="172">
        <f>入力!$H$9</f>
        <v>0</v>
      </c>
      <c r="AC24" s="172"/>
      <c r="AD24" s="135">
        <f>IF(AB24="","",入力!$I$9)</f>
        <v>0</v>
      </c>
      <c r="AE24" s="175" t="s">
        <v>7</v>
      </c>
      <c r="AF24" s="172">
        <f>入力!$K$9</f>
        <v>0</v>
      </c>
      <c r="AG24" s="172"/>
      <c r="AH24" s="136">
        <f>IF(AF24="","",入力!$L$9)</f>
        <v>0</v>
      </c>
      <c r="AI24" s="175" t="str">
        <f>IF(AJ24="","","×")</f>
        <v/>
      </c>
      <c r="AJ24" s="172" t="str">
        <f>ASC(入力!$N$9)</f>
        <v/>
      </c>
      <c r="AK24" s="172"/>
      <c r="AL24" s="136" t="str">
        <f>IF(AJ24="","",入力!$O$9)</f>
        <v/>
      </c>
      <c r="AM24" s="18"/>
      <c r="AN24" s="8"/>
      <c r="AO24" s="1"/>
    </row>
    <row r="25" spans="1:41" ht="6.95" customHeight="1">
      <c r="A25" s="1"/>
      <c r="B25" s="6"/>
      <c r="C25" s="158"/>
      <c r="D25" s="159"/>
      <c r="E25" s="160"/>
      <c r="F25" s="19"/>
      <c r="G25" s="170"/>
      <c r="H25" s="170"/>
      <c r="I25" s="133">
        <f>IF(G24="","",入力!$J$8)</f>
        <v>0</v>
      </c>
      <c r="J25" s="167"/>
      <c r="K25" s="170"/>
      <c r="L25" s="170"/>
      <c r="M25" s="133">
        <f>IF(K24="","",入力!$M$8)</f>
        <v>0</v>
      </c>
      <c r="N25" s="167"/>
      <c r="O25" s="170"/>
      <c r="P25" s="170"/>
      <c r="Q25" s="134" t="str">
        <f>IF(O24="","",入力!$P$8)</f>
        <v/>
      </c>
      <c r="R25" s="20"/>
      <c r="S25" s="8"/>
      <c r="T25" s="1"/>
      <c r="V25" s="1"/>
      <c r="W25" s="6"/>
      <c r="X25" s="158"/>
      <c r="Y25" s="159"/>
      <c r="Z25" s="160"/>
      <c r="AA25" s="19"/>
      <c r="AB25" s="173"/>
      <c r="AC25" s="173"/>
      <c r="AD25" s="137">
        <f>IF(AB24="","",入力!$J$9)</f>
        <v>0</v>
      </c>
      <c r="AE25" s="176"/>
      <c r="AF25" s="173"/>
      <c r="AG25" s="173"/>
      <c r="AH25" s="138">
        <f>IF(AF24="","",入力!$M$9)</f>
        <v>0</v>
      </c>
      <c r="AI25" s="176"/>
      <c r="AJ25" s="173"/>
      <c r="AK25" s="173"/>
      <c r="AL25" s="137" t="str">
        <f>IF(AJ24="","",入力!$P$9)</f>
        <v/>
      </c>
      <c r="AM25" s="20"/>
      <c r="AN25" s="8"/>
      <c r="AO25" s="1"/>
    </row>
    <row r="26" spans="1:41" ht="6.95" customHeight="1">
      <c r="A26" s="1"/>
      <c r="B26" s="6"/>
      <c r="C26" s="161"/>
      <c r="D26" s="162"/>
      <c r="E26" s="163"/>
      <c r="F26" s="21"/>
      <c r="G26" s="171"/>
      <c r="H26" s="171"/>
      <c r="I26" s="123"/>
      <c r="J26" s="168"/>
      <c r="K26" s="171"/>
      <c r="L26" s="171"/>
      <c r="M26" s="123"/>
      <c r="N26" s="168"/>
      <c r="O26" s="171"/>
      <c r="P26" s="171"/>
      <c r="Q26" s="125"/>
      <c r="R26" s="23"/>
      <c r="S26" s="8"/>
      <c r="T26" s="1"/>
      <c r="V26" s="1"/>
      <c r="W26" s="6"/>
      <c r="X26" s="161"/>
      <c r="Y26" s="162"/>
      <c r="Z26" s="163"/>
      <c r="AA26" s="21"/>
      <c r="AB26" s="174"/>
      <c r="AC26" s="174"/>
      <c r="AD26" s="129"/>
      <c r="AE26" s="177"/>
      <c r="AF26" s="174"/>
      <c r="AG26" s="174"/>
      <c r="AH26" s="129"/>
      <c r="AI26" s="177"/>
      <c r="AJ26" s="174"/>
      <c r="AK26" s="174"/>
      <c r="AL26" s="130"/>
      <c r="AM26" s="23"/>
      <c r="AN26" s="8"/>
      <c r="AO26" s="1"/>
    </row>
    <row r="27" spans="1:41" ht="21" customHeight="1">
      <c r="A27" s="1"/>
      <c r="B27" s="6"/>
      <c r="C27" s="9"/>
      <c r="D27" s="10" t="s">
        <v>4</v>
      </c>
      <c r="E27" s="11"/>
      <c r="F27" s="12"/>
      <c r="G27" s="40"/>
      <c r="H27" s="14"/>
      <c r="I27" s="122"/>
      <c r="J27" s="14"/>
      <c r="K27" s="40">
        <f>入力!$Q$8</f>
        <v>0</v>
      </c>
      <c r="L27" s="40" t="str">
        <f>ASC(入力!$Q$3)</f>
        <v>p</v>
      </c>
      <c r="M27" s="122"/>
      <c r="N27" s="14"/>
      <c r="O27" s="14"/>
      <c r="P27" s="14"/>
      <c r="Q27" s="122"/>
      <c r="R27" s="15"/>
      <c r="S27" s="8"/>
      <c r="T27" s="1"/>
      <c r="V27" s="1"/>
      <c r="W27" s="6"/>
      <c r="X27" s="9"/>
      <c r="Y27" s="10" t="s">
        <v>4</v>
      </c>
      <c r="Z27" s="11"/>
      <c r="AA27" s="12"/>
      <c r="AB27" s="40"/>
      <c r="AC27" s="14"/>
      <c r="AD27" s="122"/>
      <c r="AE27" s="14"/>
      <c r="AF27" s="40">
        <f>入力!$Q$9</f>
        <v>0</v>
      </c>
      <c r="AG27" s="40" t="str">
        <f>ASC(入力!$Q$3)</f>
        <v>p</v>
      </c>
      <c r="AH27" s="122"/>
      <c r="AI27" s="14"/>
      <c r="AJ27" s="14"/>
      <c r="AK27" s="14"/>
      <c r="AL27" s="122"/>
      <c r="AM27" s="15"/>
      <c r="AN27" s="8"/>
      <c r="AO27" s="1"/>
    </row>
    <row r="28" spans="1:41" ht="15.95" customHeight="1">
      <c r="A28" s="1"/>
      <c r="B28" s="6"/>
      <c r="C28" s="24" t="s">
        <v>5</v>
      </c>
      <c r="D28" s="17"/>
      <c r="E28" s="17"/>
      <c r="F28" s="17"/>
      <c r="G28" s="17"/>
      <c r="H28" s="17"/>
      <c r="I28" s="124"/>
      <c r="J28" s="17"/>
      <c r="K28" s="17"/>
      <c r="L28" s="25" t="s">
        <v>6</v>
      </c>
      <c r="M28" s="124"/>
      <c r="N28" s="17"/>
      <c r="O28" s="17"/>
      <c r="P28" s="17"/>
      <c r="Q28" s="124"/>
      <c r="R28" s="18"/>
      <c r="S28" s="8"/>
      <c r="T28" s="1"/>
      <c r="V28" s="1"/>
      <c r="W28" s="6"/>
      <c r="X28" s="24" t="s">
        <v>5</v>
      </c>
      <c r="Y28" s="17"/>
      <c r="Z28" s="17"/>
      <c r="AA28" s="17"/>
      <c r="AB28" s="17"/>
      <c r="AC28" s="17"/>
      <c r="AD28" s="124"/>
      <c r="AE28" s="17"/>
      <c r="AF28" s="17"/>
      <c r="AG28" s="25" t="s">
        <v>6</v>
      </c>
      <c r="AH28" s="124"/>
      <c r="AI28" s="17"/>
      <c r="AJ28" s="17"/>
      <c r="AK28" s="17"/>
      <c r="AL28" s="124"/>
      <c r="AM28" s="18"/>
      <c r="AN28" s="8"/>
      <c r="AO28" s="1"/>
    </row>
    <row r="29" spans="1:41">
      <c r="A29" s="1"/>
      <c r="B29" s="6"/>
      <c r="C29" s="19"/>
      <c r="D29" s="65" t="str">
        <f>ASC(入力!$S$8)</f>
        <v/>
      </c>
      <c r="E29" s="1"/>
      <c r="F29" s="1"/>
      <c r="G29" s="1"/>
      <c r="H29" s="1"/>
      <c r="I29" s="120"/>
      <c r="J29" s="1"/>
      <c r="K29" s="1"/>
      <c r="L29" s="1"/>
      <c r="M29" s="120"/>
      <c r="N29" s="1"/>
      <c r="O29" s="1"/>
      <c r="P29" s="1"/>
      <c r="Q29" s="120"/>
      <c r="R29" s="20"/>
      <c r="S29" s="8"/>
      <c r="T29" s="1"/>
      <c r="V29" s="1"/>
      <c r="W29" s="6"/>
      <c r="X29" s="19"/>
      <c r="Y29" s="65" t="str">
        <f>ASC(入力!$S$9)</f>
        <v/>
      </c>
      <c r="Z29" s="1"/>
      <c r="AA29" s="1"/>
      <c r="AB29" s="1"/>
      <c r="AC29" s="1"/>
      <c r="AD29" s="120"/>
      <c r="AE29" s="1"/>
      <c r="AF29" s="1"/>
      <c r="AG29" s="1"/>
      <c r="AH29" s="120"/>
      <c r="AI29" s="1"/>
      <c r="AJ29" s="1"/>
      <c r="AK29" s="1"/>
      <c r="AL29" s="120"/>
      <c r="AM29" s="20"/>
      <c r="AN29" s="8"/>
      <c r="AO29" s="1"/>
    </row>
    <row r="30" spans="1:41">
      <c r="A30" s="1"/>
      <c r="B30" s="6"/>
      <c r="C30" s="19"/>
      <c r="D30" s="65" t="str">
        <f>ASC(入力!$R$8)</f>
        <v/>
      </c>
      <c r="E30" s="1"/>
      <c r="F30" s="1"/>
      <c r="G30" s="1"/>
      <c r="H30" s="1"/>
      <c r="I30" s="120"/>
      <c r="J30" s="1"/>
      <c r="K30" s="1"/>
      <c r="L30" s="1"/>
      <c r="M30" s="120"/>
      <c r="N30" s="1"/>
      <c r="O30" s="1"/>
      <c r="P30" s="1"/>
      <c r="Q30" s="120"/>
      <c r="R30" s="20"/>
      <c r="S30" s="8"/>
      <c r="T30" s="1"/>
      <c r="V30" s="1"/>
      <c r="W30" s="6"/>
      <c r="X30" s="19"/>
      <c r="Y30" s="65" t="str">
        <f>ASC(入力!$R$9)</f>
        <v/>
      </c>
      <c r="Z30" s="1"/>
      <c r="AA30" s="1"/>
      <c r="AB30" s="1"/>
      <c r="AC30" s="1"/>
      <c r="AD30" s="120"/>
      <c r="AE30" s="1"/>
      <c r="AF30" s="1"/>
      <c r="AG30" s="1"/>
      <c r="AH30" s="120"/>
      <c r="AI30" s="1"/>
      <c r="AJ30" s="1"/>
      <c r="AK30" s="1"/>
      <c r="AL30" s="120"/>
      <c r="AM30" s="20"/>
      <c r="AN30" s="8"/>
      <c r="AO30" s="1"/>
    </row>
    <row r="31" spans="1:41">
      <c r="A31" s="1"/>
      <c r="B31" s="6"/>
      <c r="C31" s="21"/>
      <c r="D31" s="30" t="str">
        <f>IF(入力!$T$8="","",入力!$T$8)</f>
        <v/>
      </c>
      <c r="E31" s="22"/>
      <c r="F31" s="22"/>
      <c r="G31" s="22"/>
      <c r="H31" s="22"/>
      <c r="I31" s="125"/>
      <c r="J31" s="22"/>
      <c r="K31" s="22"/>
      <c r="L31" s="22"/>
      <c r="M31" s="125"/>
      <c r="N31" s="22"/>
      <c r="O31" s="22"/>
      <c r="P31" s="22"/>
      <c r="Q31" s="125"/>
      <c r="R31" s="23"/>
      <c r="S31" s="8"/>
      <c r="T31" s="1"/>
      <c r="V31" s="1"/>
      <c r="W31" s="6"/>
      <c r="X31" s="21"/>
      <c r="Y31" s="30" t="str">
        <f>IF(入力!$T$9="","",入力!$T$9)</f>
        <v/>
      </c>
      <c r="Z31" s="22"/>
      <c r="AA31" s="22"/>
      <c r="AB31" s="22"/>
      <c r="AC31" s="22"/>
      <c r="AD31" s="125"/>
      <c r="AE31" s="22"/>
      <c r="AF31" s="22"/>
      <c r="AG31" s="22"/>
      <c r="AH31" s="125"/>
      <c r="AI31" s="22"/>
      <c r="AJ31" s="22"/>
      <c r="AK31" s="22"/>
      <c r="AL31" s="125"/>
      <c r="AM31" s="23"/>
      <c r="AN31" s="8"/>
      <c r="AO31" s="1"/>
    </row>
    <row r="32" spans="1:41">
      <c r="A32" s="1"/>
      <c r="B32" s="26"/>
      <c r="C32" s="27"/>
      <c r="D32" s="27"/>
      <c r="E32" s="27"/>
      <c r="F32" s="27"/>
      <c r="G32" s="164" t="s">
        <v>45</v>
      </c>
      <c r="H32" s="164"/>
      <c r="I32" s="164"/>
      <c r="J32" s="164"/>
      <c r="K32" s="164"/>
      <c r="L32" s="164"/>
      <c r="M32" s="164"/>
      <c r="N32" s="164"/>
      <c r="O32" s="27"/>
      <c r="P32" s="27"/>
      <c r="Q32" s="128"/>
      <c r="R32" s="27"/>
      <c r="S32" s="28"/>
      <c r="T32" s="1"/>
      <c r="V32" s="1"/>
      <c r="W32" s="26"/>
      <c r="X32" s="27"/>
      <c r="Y32" s="27"/>
      <c r="Z32" s="27"/>
      <c r="AA32" s="27"/>
      <c r="AB32" s="164" t="s">
        <v>45</v>
      </c>
      <c r="AC32" s="164"/>
      <c r="AD32" s="164"/>
      <c r="AE32" s="164"/>
      <c r="AF32" s="164"/>
      <c r="AG32" s="164"/>
      <c r="AH32" s="164"/>
      <c r="AI32" s="164"/>
      <c r="AJ32" s="27"/>
      <c r="AK32" s="27"/>
      <c r="AL32" s="128"/>
      <c r="AM32" s="27"/>
      <c r="AN32" s="28"/>
      <c r="AO32" s="1"/>
    </row>
    <row r="33" spans="1:41" ht="9.9499999999999993" customHeight="1">
      <c r="A33" s="1"/>
      <c r="B33" s="1"/>
      <c r="C33" s="1"/>
      <c r="D33" s="1"/>
      <c r="E33" s="1"/>
      <c r="F33" s="1"/>
      <c r="G33" s="165"/>
      <c r="H33" s="165"/>
      <c r="I33" s="165"/>
      <c r="J33" s="165"/>
      <c r="K33" s="165"/>
      <c r="L33" s="165"/>
      <c r="M33" s="165"/>
      <c r="N33" s="165"/>
      <c r="O33" s="1"/>
      <c r="P33" s="1"/>
      <c r="Q33" s="120"/>
      <c r="R33" s="1"/>
      <c r="S33" s="1"/>
      <c r="T33" s="1"/>
      <c r="V33" s="1"/>
      <c r="W33" s="1"/>
      <c r="X33" s="1"/>
      <c r="Y33" s="1"/>
      <c r="Z33" s="1"/>
      <c r="AA33" s="1"/>
      <c r="AB33" s="165"/>
      <c r="AC33" s="165"/>
      <c r="AD33" s="165"/>
      <c r="AE33" s="165"/>
      <c r="AF33" s="165"/>
      <c r="AG33" s="165"/>
      <c r="AH33" s="165"/>
      <c r="AI33" s="165"/>
      <c r="AJ33" s="1"/>
      <c r="AK33" s="1"/>
      <c r="AL33" s="120"/>
      <c r="AM33" s="1"/>
      <c r="AN33" s="1"/>
      <c r="AO33" s="1"/>
    </row>
    <row r="34" spans="1:41">
      <c r="A34" s="1"/>
      <c r="B34" s="1"/>
      <c r="C34" s="1"/>
      <c r="D34" s="1"/>
      <c r="E34" s="1"/>
      <c r="F34" s="1"/>
      <c r="G34" s="29"/>
      <c r="H34" s="29"/>
      <c r="I34" s="126"/>
      <c r="J34" s="29"/>
      <c r="K34" s="29"/>
      <c r="L34" s="29"/>
      <c r="M34" s="126"/>
      <c r="N34" s="29"/>
      <c r="O34" s="1"/>
      <c r="P34" s="1"/>
      <c r="Q34" s="120"/>
      <c r="R34" s="1"/>
      <c r="S34" s="1"/>
      <c r="T34" s="1"/>
      <c r="V34" s="1"/>
      <c r="W34" s="1"/>
      <c r="X34" s="1"/>
      <c r="Y34" s="1"/>
      <c r="Z34" s="1"/>
      <c r="AA34" s="1"/>
      <c r="AB34" s="29"/>
      <c r="AC34" s="29"/>
      <c r="AD34" s="126"/>
      <c r="AE34" s="29"/>
      <c r="AF34" s="29"/>
      <c r="AG34" s="29"/>
      <c r="AH34" s="126"/>
      <c r="AI34" s="29"/>
      <c r="AJ34" s="1"/>
      <c r="AK34" s="1"/>
      <c r="AL34" s="120"/>
      <c r="AM34" s="1"/>
      <c r="AN34" s="1"/>
      <c r="AO34" s="1"/>
    </row>
  </sheetData>
  <mergeCells count="28">
    <mergeCell ref="AJ7:AK9"/>
    <mergeCell ref="G24:H26"/>
    <mergeCell ref="J24:J26"/>
    <mergeCell ref="K24:L26"/>
    <mergeCell ref="N24:N26"/>
    <mergeCell ref="AJ24:AK26"/>
    <mergeCell ref="O7:P9"/>
    <mergeCell ref="AI24:AI26"/>
    <mergeCell ref="AE24:AE26"/>
    <mergeCell ref="AF24:AG26"/>
    <mergeCell ref="X24:Z26"/>
    <mergeCell ref="AB7:AC9"/>
    <mergeCell ref="C7:E9"/>
    <mergeCell ref="G32:N33"/>
    <mergeCell ref="C24:E26"/>
    <mergeCell ref="AI7:AI9"/>
    <mergeCell ref="J7:J9"/>
    <mergeCell ref="K7:L9"/>
    <mergeCell ref="N7:N9"/>
    <mergeCell ref="X7:Z9"/>
    <mergeCell ref="AE7:AE9"/>
    <mergeCell ref="AF7:AG9"/>
    <mergeCell ref="G7:H9"/>
    <mergeCell ref="O24:P26"/>
    <mergeCell ref="AB24:AC26"/>
    <mergeCell ref="AB15:AI16"/>
    <mergeCell ref="G15:N16"/>
    <mergeCell ref="AB32:AI33"/>
  </mergeCells>
  <phoneticPr fontId="1"/>
  <conditionalFormatting sqref="I8 M8 Q8 AD8 AH8 AL8 I25 M25 Q25 AD25 AH25 AL25">
    <cfRule type="cellIs" dxfId="0" priority="4" operator="greaterThan">
      <formula>0</formula>
    </cfRule>
  </conditionalFormatting>
  <printOptions horizontalCentered="1" verticalCentered="1"/>
  <pageMargins left="0" right="0" top="0" bottom="0" header="0.51181102362204722" footer="0.51181102362204722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set</vt:lpstr>
      <vt:lpstr>入力</vt:lpstr>
      <vt:lpstr>print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2025-10-16T11:01:46Z</dcterms:created>
  <dcterms:modified xsi:type="dcterms:W3CDTF">2025-10-16T11:02:16Z</dcterms:modified>
</cp:coreProperties>
</file>