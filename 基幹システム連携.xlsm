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filterPrivacy="1" codeName="ThisWorkbook"/>
  <bookViews>
    <workbookView xWindow="-120" yWindow="-120" windowWidth="29040" windowHeight="15525"/>
  </bookViews>
  <sheets>
    <sheet name="発注報告書" sheetId="2" r:id="rId1"/>
  </sheets>
  <externalReferences>
    <externalReference r:id="rId2"/>
  </externalReferences>
  <definedNames>
    <definedName name="起票者リスト">[1]リスト!$N$4:$N$10</definedName>
    <definedName name="取引先リスト">[1]リスト!$A$4:$A$318</definedName>
    <definedName name="修繕区分">[1]リスト!$AE$4:$AE$7</definedName>
    <definedName name="単位リスト">[1]リスト!$R$4:$R$15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7" i="2" l="1"/>
  <c r="V47" i="2" s="1"/>
  <c r="A43" i="2"/>
  <c r="X42" i="2"/>
  <c r="Y42" i="2" s="1"/>
  <c r="Z42" i="2" s="1"/>
  <c r="AA42" i="2" s="1"/>
  <c r="AB41" i="2"/>
  <c r="A41" i="2"/>
  <c r="X41" i="2" s="1"/>
  <c r="Y41" i="2" s="1"/>
  <c r="Z41" i="2" s="1"/>
  <c r="AA41" i="2" s="1"/>
  <c r="C37" i="2"/>
  <c r="O10" i="2"/>
  <c r="AC10" i="2"/>
  <c r="X10" i="2"/>
  <c r="Z47" i="2" l="1"/>
  <c r="AC47" i="2" s="1"/>
</calcChain>
</file>

<file path=xl/sharedStrings.xml><?xml version="1.0" encoding="utf-8"?>
<sst xmlns="http://schemas.openxmlformats.org/spreadsheetml/2006/main" count="43" uniqueCount="37">
  <si>
    <t>名　称</t>
    <rPh sb="0" eb="1">
      <t>ナ</t>
    </rPh>
    <rPh sb="2" eb="3">
      <t>ショウ</t>
    </rPh>
    <phoneticPr fontId="5"/>
  </si>
  <si>
    <t>完了予定日</t>
    <rPh sb="0" eb="2">
      <t>カンリョウ</t>
    </rPh>
    <rPh sb="2" eb="5">
      <t>ヨテイビ</t>
    </rPh>
    <phoneticPr fontId="5"/>
  </si>
  <si>
    <t>注文書発行</t>
    <rPh sb="0" eb="2">
      <t>チュウモン</t>
    </rPh>
    <rPh sb="2" eb="3">
      <t>ショ</t>
    </rPh>
    <rPh sb="3" eb="5">
      <t>ハッコウ</t>
    </rPh>
    <phoneticPr fontId="5"/>
  </si>
  <si>
    <t>有　　・　　無</t>
    <rPh sb="0" eb="1">
      <t>ア</t>
    </rPh>
    <rPh sb="6" eb="7">
      <t>ナ</t>
    </rPh>
    <phoneticPr fontId="5"/>
  </si>
  <si>
    <t>担当者</t>
    <rPh sb="0" eb="3">
      <t>タントウシャ</t>
    </rPh>
    <phoneticPr fontId="5"/>
  </si>
  <si>
    <t xml:space="preserve"> 注　文　内　容</t>
    <rPh sb="1" eb="2">
      <t>チュウ</t>
    </rPh>
    <rPh sb="3" eb="4">
      <t>ブン</t>
    </rPh>
    <rPh sb="5" eb="6">
      <t>ナイ</t>
    </rPh>
    <rPh sb="7" eb="8">
      <t>カタチ</t>
    </rPh>
    <phoneticPr fontId="5"/>
  </si>
  <si>
    <t>　</t>
    <phoneticPr fontId="5"/>
  </si>
  <si>
    <t>　　</t>
    <phoneticPr fontId="5"/>
  </si>
  <si>
    <t>確　　認</t>
    <rPh sb="0" eb="1">
      <t>アキラ</t>
    </rPh>
    <rPh sb="3" eb="4">
      <t>シノブ</t>
    </rPh>
    <phoneticPr fontId="5"/>
  </si>
  <si>
    <t>発    注    先    名    称</t>
    <rPh sb="0" eb="1">
      <t>ハツ</t>
    </rPh>
    <rPh sb="5" eb="6">
      <t>チュウ</t>
    </rPh>
    <rPh sb="10" eb="11">
      <t>サキ</t>
    </rPh>
    <rPh sb="15" eb="16">
      <t>メイ</t>
    </rPh>
    <rPh sb="20" eb="21">
      <t>ショウ</t>
    </rPh>
    <phoneticPr fontId="5"/>
  </si>
  <si>
    <t>発注先ﾊﾞｰｺｰﾄﾞ</t>
    <rPh sb="0" eb="2">
      <t>ハッチュウ</t>
    </rPh>
    <rPh sb="2" eb="3">
      <t>サキ</t>
    </rPh>
    <phoneticPr fontId="5"/>
  </si>
  <si>
    <t>検  収  月  日</t>
    <rPh sb="0" eb="1">
      <t>ケン</t>
    </rPh>
    <rPh sb="3" eb="4">
      <t>オサム</t>
    </rPh>
    <rPh sb="6" eb="7">
      <t>ツキ</t>
    </rPh>
    <rPh sb="9" eb="10">
      <t>ヒ</t>
    </rPh>
    <phoneticPr fontId="5"/>
  </si>
  <si>
    <t>数　      　量</t>
    <rPh sb="0" eb="1">
      <t>カズ</t>
    </rPh>
    <rPh sb="9" eb="10">
      <t>リョウ</t>
    </rPh>
    <phoneticPr fontId="5"/>
  </si>
  <si>
    <t>単            位</t>
    <rPh sb="0" eb="1">
      <t>タン</t>
    </rPh>
    <rPh sb="13" eb="14">
      <t>クライ</t>
    </rPh>
    <phoneticPr fontId="5"/>
  </si>
  <si>
    <t>単       価</t>
    <rPh sb="0" eb="1">
      <t>タン</t>
    </rPh>
    <rPh sb="8" eb="9">
      <t>アタイ</t>
    </rPh>
    <phoneticPr fontId="5"/>
  </si>
  <si>
    <t>金  額  （消費税抜）</t>
    <rPh sb="0" eb="1">
      <t>キン</t>
    </rPh>
    <rPh sb="3" eb="4">
      <t>ガク</t>
    </rPh>
    <rPh sb="7" eb="10">
      <t>ショウヒゼイ</t>
    </rPh>
    <rPh sb="10" eb="11">
      <t>ヌ</t>
    </rPh>
    <phoneticPr fontId="5"/>
  </si>
  <si>
    <t>消  費  税  額</t>
    <rPh sb="0" eb="1">
      <t>ケ</t>
    </rPh>
    <rPh sb="3" eb="4">
      <t>ヒ</t>
    </rPh>
    <rPh sb="6" eb="7">
      <t>ゼイ</t>
    </rPh>
    <rPh sb="9" eb="10">
      <t>ガク</t>
    </rPh>
    <phoneticPr fontId="5"/>
  </si>
  <si>
    <t>金  額  （消費税込）</t>
    <rPh sb="0" eb="1">
      <t>キン</t>
    </rPh>
    <rPh sb="3" eb="4">
      <t>ガク</t>
    </rPh>
    <rPh sb="7" eb="10">
      <t>ショウヒゼイ</t>
    </rPh>
    <rPh sb="10" eb="11">
      <t>コ</t>
    </rPh>
    <phoneticPr fontId="5"/>
  </si>
  <si>
    <t>U</t>
    <phoneticPr fontId="5"/>
  </si>
  <si>
    <t>備　考</t>
    <rPh sb="0" eb="1">
      <t>ソナエ</t>
    </rPh>
    <rPh sb="2" eb="3">
      <t>コウ</t>
    </rPh>
    <phoneticPr fontId="5"/>
  </si>
  <si>
    <t>注文報告書</t>
    <rPh sb="0" eb="2">
      <t>チュウモン</t>
    </rPh>
    <rPh sb="2" eb="4">
      <t>ホウコク</t>
    </rPh>
    <rPh sb="4" eb="5">
      <t>ショ</t>
    </rPh>
    <phoneticPr fontId="5"/>
  </si>
  <si>
    <t>あああああ</t>
    <phoneticPr fontId="5"/>
  </si>
  <si>
    <t>№</t>
    <phoneticPr fontId="5"/>
  </si>
  <si>
    <t>0001</t>
    <phoneticPr fontId="1"/>
  </si>
  <si>
    <t>○○○</t>
    <phoneticPr fontId="5"/>
  </si>
  <si>
    <t>注文先名称</t>
    <rPh sb="0" eb="2">
      <t>チュウモン</t>
    </rPh>
    <rPh sb="2" eb="3">
      <t>サキ</t>
    </rPh>
    <rPh sb="3" eb="5">
      <t>メイショウ</t>
    </rPh>
    <phoneticPr fontId="5"/>
  </si>
  <si>
    <t>金額</t>
    <rPh sb="0" eb="2">
      <t>キンガク</t>
    </rPh>
    <phoneticPr fontId="5"/>
  </si>
  <si>
    <t>test</t>
    <phoneticPr fontId="5"/>
  </si>
  <si>
    <t>test</t>
    <phoneticPr fontId="1"/>
  </si>
  <si>
    <t>No．</t>
    <phoneticPr fontId="5"/>
  </si>
  <si>
    <t>責任者</t>
    <rPh sb="0" eb="3">
      <t>セキニンシャ</t>
    </rPh>
    <phoneticPr fontId="5"/>
  </si>
  <si>
    <t>発注書</t>
    <rPh sb="0" eb="3">
      <t>ハッチュウショ</t>
    </rPh>
    <phoneticPr fontId="5"/>
  </si>
  <si>
    <t>〒000-0000</t>
    <phoneticPr fontId="5"/>
  </si>
  <si>
    <t>　　ああ県 ああ市 ああ町0-0</t>
    <rPh sb="4" eb="5">
      <t>ケン</t>
    </rPh>
    <rPh sb="8" eb="9">
      <t>シ</t>
    </rPh>
    <rPh sb="12" eb="13">
      <t>マチ</t>
    </rPh>
    <phoneticPr fontId="5"/>
  </si>
  <si>
    <t>てすと㈱</t>
    <phoneticPr fontId="5"/>
  </si>
  <si>
    <t>　　　  FAX（0000）-00-0000</t>
    <phoneticPr fontId="5"/>
  </si>
  <si>
    <t>　　　　TEL（0000）-00-0000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</si>
</sst>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¥&quot;#,##0;[Red]&quot;¥&quot;\-#,##0"/>
    <numFmt numFmtId="176" formatCode="[$-F800]dddd\,\ mmmm\ dd\,\ yyyy"/>
  </numFmts>
  <fonts count="3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sz val="14"/>
      <name val="HGP明朝E"/>
      <family val="1"/>
      <charset val="128"/>
    </font>
    <font>
      <sz val="14"/>
      <name val="ＭＳ Ｐゴシック"/>
      <family val="3"/>
      <charset val="128"/>
    </font>
    <font>
      <sz val="16"/>
      <name val="HGP明朝E"/>
      <family val="1"/>
      <charset val="128"/>
    </font>
    <font>
      <sz val="14"/>
      <name val="CODE39"/>
      <family val="2"/>
    </font>
    <font>
      <sz val="16"/>
      <name val="CODE39"/>
      <family val="2"/>
    </font>
    <font>
      <sz val="10"/>
      <name val="ＭＳ Ｐゴシック"/>
      <family val="3"/>
      <charset val="128"/>
    </font>
    <font>
      <sz val="11"/>
      <name val="游ゴシック"/>
      <family val="3"/>
      <charset val="128"/>
    </font>
    <font>
      <sz val="28"/>
      <name val="HGP明朝E"/>
      <family val="1"/>
      <charset val="128"/>
    </font>
    <font>
      <sz val="18"/>
      <color indexed="10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20"/>
      <name val="HGP明朝E"/>
      <family val="1"/>
      <charset val="128"/>
    </font>
    <font>
      <sz val="11"/>
      <color indexed="10"/>
      <name val="ＭＳ Ｐゴシック"/>
      <family val="3"/>
      <charset val="128"/>
    </font>
    <font>
      <sz val="16"/>
      <name val="ＭＳ Ｐゴシック"/>
      <family val="3"/>
      <charset val="128"/>
    </font>
    <font>
      <u/>
      <sz val="16"/>
      <name val="ＭＳ Ｐゴシック"/>
      <family val="3"/>
      <charset val="128"/>
    </font>
    <font>
      <sz val="18"/>
      <name val="ＭＳ Ｐゴシック"/>
      <family val="3"/>
      <charset val="128"/>
    </font>
    <font>
      <sz val="18"/>
      <name val="Arial"/>
      <family val="2"/>
    </font>
    <font>
      <u/>
      <sz val="10"/>
      <name val="ＭＳ Ｐゴシック"/>
      <family val="3"/>
      <charset val="128"/>
    </font>
    <font>
      <sz val="18"/>
      <name val="CODE39"/>
      <family val="2"/>
    </font>
    <font>
      <sz val="12"/>
      <name val="Arial"/>
      <family val="2"/>
    </font>
    <font>
      <sz val="12"/>
      <name val="HGP明朝E"/>
      <family val="1"/>
      <charset val="128"/>
    </font>
    <font>
      <u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38" fontId="2" fillId="0" borderId="0" applyFont="0" applyFill="0" applyBorder="0" applyAlignment="0" applyProtection="0"/>
  </cellStyleXfs>
  <cellXfs count="218">
    <xf numFmtId="0" fontId="0" fillId="0" borderId="0" xfId="0">
      <alignment vertical="center"/>
    </xf>
    <xf numFmtId="0" fontId="2" fillId="0" borderId="0" xfId="1"/>
    <xf numFmtId="0" fontId="2" fillId="0" borderId="0" xfId="1" applyAlignment="1">
      <alignment vertical="center" wrapText="1"/>
    </xf>
    <xf numFmtId="0" fontId="3" fillId="0" borderId="0" xfId="1" applyFont="1" applyAlignment="1">
      <alignment vertical="center" shrinkToFit="1"/>
    </xf>
    <xf numFmtId="0" fontId="3" fillId="0" borderId="0" xfId="1" applyFont="1" applyAlignment="1">
      <alignment vertical="center"/>
    </xf>
    <xf numFmtId="0" fontId="2" fillId="0" borderId="0" xfId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2" fillId="0" borderId="7" xfId="1" applyBorder="1" applyAlignment="1">
      <alignment horizontal="left"/>
    </xf>
    <xf numFmtId="0" fontId="2" fillId="0" borderId="0" xfId="1" applyAlignment="1">
      <alignment horizontal="center"/>
    </xf>
    <xf numFmtId="0" fontId="12" fillId="0" borderId="2" xfId="1" applyFont="1" applyBorder="1"/>
    <xf numFmtId="0" fontId="12" fillId="0" borderId="3" xfId="1" applyFont="1" applyBorder="1"/>
    <xf numFmtId="0" fontId="12" fillId="0" borderId="7" xfId="1" applyFont="1" applyBorder="1"/>
    <xf numFmtId="0" fontId="12" fillId="0" borderId="0" xfId="1" applyFont="1" applyAlignment="1">
      <alignment horizontal="center"/>
    </xf>
    <xf numFmtId="0" fontId="12" fillId="0" borderId="0" xfId="1" applyFont="1" applyAlignment="1">
      <alignment wrapText="1"/>
    </xf>
    <xf numFmtId="0" fontId="12" fillId="0" borderId="0" xfId="1" applyFont="1"/>
    <xf numFmtId="0" fontId="12" fillId="0" borderId="8" xfId="1" applyFont="1" applyBorder="1"/>
    <xf numFmtId="0" fontId="2" fillId="0" borderId="8" xfId="1" applyBorder="1"/>
    <xf numFmtId="0" fontId="13" fillId="0" borderId="0" xfId="1" applyFont="1" applyAlignment="1">
      <alignment vertical="center"/>
    </xf>
    <xf numFmtId="0" fontId="12" fillId="0" borderId="8" xfId="1" applyFont="1" applyBorder="1" applyAlignment="1">
      <alignment wrapText="1"/>
    </xf>
    <xf numFmtId="0" fontId="2" fillId="0" borderId="7" xfId="1" applyBorder="1"/>
    <xf numFmtId="0" fontId="12" fillId="0" borderId="0" xfId="1" applyFont="1" applyAlignment="1">
      <alignment horizontal="right"/>
    </xf>
    <xf numFmtId="0" fontId="12" fillId="0" borderId="8" xfId="1" applyFont="1" applyBorder="1" applyAlignment="1">
      <alignment horizontal="center"/>
    </xf>
    <xf numFmtId="0" fontId="2" fillId="0" borderId="0" xfId="1" applyAlignment="1">
      <alignment horizontal="right"/>
    </xf>
    <xf numFmtId="0" fontId="2" fillId="0" borderId="8" xfId="1" applyBorder="1" applyAlignment="1">
      <alignment horizontal="center"/>
    </xf>
    <xf numFmtId="0" fontId="2" fillId="0" borderId="5" xfId="1" applyBorder="1"/>
    <xf numFmtId="0" fontId="2" fillId="0" borderId="0" xfId="1" applyAlignment="1">
      <alignment horizontal="left" vertical="center"/>
    </xf>
    <xf numFmtId="38" fontId="2" fillId="0" borderId="0" xfId="1" applyNumberFormat="1" applyAlignment="1">
      <alignment vertical="center" shrinkToFit="1"/>
    </xf>
    <xf numFmtId="0" fontId="2" fillId="0" borderId="0" xfId="1" applyAlignment="1">
      <alignment vertical="center" shrinkToFit="1"/>
    </xf>
    <xf numFmtId="0" fontId="2" fillId="0" borderId="8" xfId="1" applyBorder="1" applyAlignment="1">
      <alignment vertical="center" shrinkToFit="1"/>
    </xf>
    <xf numFmtId="0" fontId="2" fillId="2" borderId="12" xfId="1" applyFill="1" applyBorder="1" applyAlignment="1">
      <alignment horizontal="center" vertical="center"/>
    </xf>
    <xf numFmtId="0" fontId="2" fillId="0" borderId="0" xfId="1" applyAlignment="1">
      <alignment vertical="center"/>
    </xf>
    <xf numFmtId="0" fontId="2" fillId="0" borderId="5" xfId="1" applyBorder="1" applyAlignment="1">
      <alignment horizontal="center" vertical="center"/>
    </xf>
    <xf numFmtId="0" fontId="2" fillId="0" borderId="0" xfId="1" applyAlignment="1">
      <alignment horizontal="right" vertical="center"/>
    </xf>
    <xf numFmtId="0" fontId="2" fillId="0" borderId="0" xfId="1" applyAlignment="1">
      <alignment vertical="top"/>
    </xf>
    <xf numFmtId="0" fontId="8" fillId="0" borderId="0" xfId="1" applyFont="1" applyAlignment="1">
      <alignment horizontal="center" vertical="center"/>
    </xf>
    <xf numFmtId="0" fontId="16" fillId="0" borderId="0" xfId="1" applyFont="1" applyAlignment="1">
      <alignment vertical="center" shrinkToFit="1"/>
    </xf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2" fillId="0" borderId="0" xfId="1" applyFont="1" applyAlignment="1">
      <alignment vertical="center"/>
    </xf>
    <xf numFmtId="0" fontId="3" fillId="0" borderId="0" xfId="1" applyFont="1"/>
    <xf numFmtId="0" fontId="12" fillId="0" borderId="0" xfId="1" applyFont="1" applyAlignment="1">
      <alignment horizontal="center" vertical="center"/>
    </xf>
    <xf numFmtId="0" fontId="12" fillId="0" borderId="0" xfId="1" quotePrefix="1" applyFont="1" applyAlignment="1">
      <alignment vertical="center"/>
    </xf>
    <xf numFmtId="0" fontId="12" fillId="0" borderId="0" xfId="1" applyFont="1" applyAlignment="1">
      <alignment vertical="center" textRotation="255"/>
    </xf>
    <xf numFmtId="0" fontId="21" fillId="0" borderId="0" xfId="2" applyNumberFormat="1" applyFont="1" applyBorder="1" applyAlignment="1" applyProtection="1">
      <alignment vertical="center"/>
    </xf>
    <xf numFmtId="0" fontId="3" fillId="0" borderId="0" xfId="2" applyNumberFormat="1" applyFont="1" applyBorder="1" applyAlignment="1" applyProtection="1"/>
    <xf numFmtId="14" fontId="22" fillId="0" borderId="0" xfId="1" applyNumberFormat="1" applyFont="1" applyAlignment="1">
      <alignment vertical="center"/>
    </xf>
    <xf numFmtId="0" fontId="12" fillId="0" borderId="5" xfId="1" applyFont="1" applyBorder="1" applyAlignment="1">
      <alignment horizontal="center" vertical="center" textRotation="255"/>
    </xf>
    <xf numFmtId="0" fontId="12" fillId="0" borderId="5" xfId="1" applyFont="1" applyBorder="1" applyAlignment="1">
      <alignment vertical="center" textRotation="255"/>
    </xf>
    <xf numFmtId="0" fontId="21" fillId="0" borderId="5" xfId="2" applyNumberFormat="1" applyFont="1" applyBorder="1" applyAlignment="1" applyProtection="1">
      <alignment vertical="center"/>
    </xf>
    <xf numFmtId="0" fontId="5" fillId="0" borderId="5" xfId="2" applyNumberFormat="1" applyFont="1" applyBorder="1" applyAlignment="1" applyProtection="1">
      <alignment vertical="center"/>
    </xf>
    <xf numFmtId="14" fontId="22" fillId="0" borderId="5" xfId="1" applyNumberFormat="1" applyFont="1" applyBorder="1" applyAlignment="1">
      <alignment vertical="center"/>
    </xf>
    <xf numFmtId="0" fontId="12" fillId="0" borderId="5" xfId="1" applyFont="1" applyBorder="1" applyAlignment="1">
      <alignment vertical="center"/>
    </xf>
    <xf numFmtId="0" fontId="23" fillId="0" borderId="0" xfId="1" applyFont="1" applyAlignment="1">
      <alignment horizontal="left" vertical="center"/>
    </xf>
    <xf numFmtId="0" fontId="5" fillId="0" borderId="22" xfId="1" applyFont="1" applyBorder="1" applyAlignment="1">
      <alignment horizontal="center" vertical="center"/>
    </xf>
    <xf numFmtId="0" fontId="12" fillId="0" borderId="20" xfId="1" applyFont="1" applyBorder="1" applyAlignment="1">
      <alignment vertical="center"/>
    </xf>
    <xf numFmtId="0" fontId="12" fillId="0" borderId="21" xfId="1" applyFont="1" applyBorder="1" applyAlignment="1">
      <alignment vertical="center"/>
    </xf>
    <xf numFmtId="0" fontId="27" fillId="0" borderId="1" xfId="1" applyFont="1" applyBorder="1" applyAlignment="1">
      <alignment vertical="center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28" fillId="0" borderId="7" xfId="1" applyFont="1" applyBorder="1" applyAlignment="1">
      <alignment horizontal="left" vertical="center"/>
    </xf>
    <xf numFmtId="0" fontId="28" fillId="0" borderId="0" xfId="1" applyFont="1" applyAlignment="1">
      <alignment horizontal="center" vertical="center"/>
    </xf>
    <xf numFmtId="0" fontId="28" fillId="0" borderId="0" xfId="1" applyFont="1" applyAlignment="1">
      <alignment horizontal="left" vertical="center"/>
    </xf>
    <xf numFmtId="0" fontId="12" fillId="0" borderId="8" xfId="1" applyFont="1" applyBorder="1" applyAlignment="1">
      <alignment vertical="center"/>
    </xf>
    <xf numFmtId="0" fontId="23" fillId="0" borderId="7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29" fillId="0" borderId="5" xfId="1" applyFont="1" applyBorder="1" applyAlignment="1">
      <alignment vertical="center"/>
    </xf>
    <xf numFmtId="0" fontId="12" fillId="0" borderId="5" xfId="1" applyFont="1" applyBorder="1"/>
    <xf numFmtId="0" fontId="28" fillId="0" borderId="4" xfId="1" applyFont="1" applyBorder="1" applyAlignment="1">
      <alignment horizontal="left" vertical="center"/>
    </xf>
    <xf numFmtId="0" fontId="28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left" vertical="center"/>
    </xf>
    <xf numFmtId="0" fontId="12" fillId="0" borderId="6" xfId="1" applyFont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3" fillId="2" borderId="4" xfId="1" applyFont="1" applyFill="1" applyBorder="1" applyAlignment="1">
      <alignment horizontal="center" vertical="center" wrapText="1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 wrapText="1"/>
    </xf>
    <xf numFmtId="38" fontId="8" fillId="0" borderId="1" xfId="1" applyNumberFormat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176" fontId="8" fillId="0" borderId="1" xfId="1" applyNumberFormat="1" applyFont="1" applyBorder="1" applyAlignment="1">
      <alignment horizontal="center" vertical="center"/>
    </xf>
    <xf numFmtId="176" fontId="8" fillId="0" borderId="2" xfId="1" applyNumberFormat="1" applyFont="1" applyBorder="1" applyAlignment="1">
      <alignment horizontal="center" vertical="center"/>
    </xf>
    <xf numFmtId="176" fontId="8" fillId="0" borderId="3" xfId="1" applyNumberFormat="1" applyFont="1" applyBorder="1" applyAlignment="1">
      <alignment horizontal="center" vertical="center"/>
    </xf>
    <xf numFmtId="176" fontId="8" fillId="0" borderId="4" xfId="1" applyNumberFormat="1" applyFont="1" applyBorder="1" applyAlignment="1">
      <alignment horizontal="center" vertical="center"/>
    </xf>
    <xf numFmtId="176" fontId="8" fillId="0" borderId="5" xfId="1" applyNumberFormat="1" applyFont="1" applyBorder="1" applyAlignment="1">
      <alignment horizontal="center" vertical="center"/>
    </xf>
    <xf numFmtId="176" fontId="8" fillId="0" borderId="6" xfId="1" applyNumberFormat="1" applyFont="1" applyBorder="1" applyAlignment="1">
      <alignment horizontal="center" vertical="center"/>
    </xf>
    <xf numFmtId="6" fontId="9" fillId="0" borderId="1" xfId="1" applyNumberFormat="1" applyFont="1" applyBorder="1" applyAlignment="1">
      <alignment horizontal="center" vertical="center" wrapText="1"/>
    </xf>
    <xf numFmtId="6" fontId="9" fillId="0" borderId="2" xfId="1" applyNumberFormat="1" applyFont="1" applyBorder="1" applyAlignment="1">
      <alignment horizontal="center" vertical="center" wrapText="1"/>
    </xf>
    <xf numFmtId="6" fontId="9" fillId="0" borderId="4" xfId="1" applyNumberFormat="1" applyFont="1" applyBorder="1" applyAlignment="1">
      <alignment horizontal="center" vertical="center" wrapText="1"/>
    </xf>
    <xf numFmtId="6" fontId="9" fillId="0" borderId="5" xfId="1" applyNumberFormat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76" fontId="3" fillId="0" borderId="0" xfId="2" applyNumberFormat="1" applyFont="1" applyFill="1" applyBorder="1" applyAlignment="1" applyProtection="1">
      <alignment horizontal="right"/>
    </xf>
    <xf numFmtId="0" fontId="3" fillId="0" borderId="1" xfId="1" applyFont="1" applyBorder="1" applyAlignment="1">
      <alignment horizontal="center" vertical="center" shrinkToFit="1"/>
    </xf>
    <xf numFmtId="0" fontId="3" fillId="0" borderId="2" xfId="1" applyFont="1" applyBorder="1" applyAlignment="1">
      <alignment horizontal="center" vertical="center" shrinkToFit="1"/>
    </xf>
    <xf numFmtId="0" fontId="3" fillId="0" borderId="3" xfId="1" applyFont="1" applyBorder="1" applyAlignment="1">
      <alignment horizontal="center" vertical="center" shrinkToFit="1"/>
    </xf>
    <xf numFmtId="0" fontId="3" fillId="0" borderId="4" xfId="1" applyFont="1" applyBorder="1" applyAlignment="1">
      <alignment horizontal="center" vertical="center" shrinkToFit="1"/>
    </xf>
    <xf numFmtId="0" fontId="3" fillId="0" borderId="5" xfId="1" applyFont="1" applyBorder="1" applyAlignment="1">
      <alignment horizontal="center" vertical="center" shrinkToFit="1"/>
    </xf>
    <xf numFmtId="0" fontId="3" fillId="0" borderId="6" xfId="1" applyFont="1" applyBorder="1" applyAlignment="1">
      <alignment horizontal="center" vertical="center" shrinkToFit="1"/>
    </xf>
    <xf numFmtId="0" fontId="7" fillId="0" borderId="1" xfId="1" applyFont="1" applyBorder="1" applyAlignment="1">
      <alignment horizontal="right" vertical="center"/>
    </xf>
    <xf numFmtId="0" fontId="7" fillId="0" borderId="4" xfId="1" applyFont="1" applyBorder="1" applyAlignment="1">
      <alignment horizontal="right" vertical="center"/>
    </xf>
    <xf numFmtId="49" fontId="7" fillId="0" borderId="2" xfId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left" vertical="center"/>
    </xf>
    <xf numFmtId="0" fontId="7" fillId="0" borderId="6" xfId="1" applyFont="1" applyBorder="1" applyAlignment="1">
      <alignment horizontal="left" vertical="center"/>
    </xf>
    <xf numFmtId="0" fontId="11" fillId="0" borderId="2" xfId="1" applyFont="1" applyBorder="1" applyAlignment="1">
      <alignment horizontal="center" vertical="center"/>
    </xf>
    <xf numFmtId="0" fontId="11" fillId="0" borderId="3" xfId="1" applyFont="1" applyBorder="1" applyAlignment="1">
      <alignment vertical="center"/>
    </xf>
    <xf numFmtId="0" fontId="11" fillId="0" borderId="5" xfId="1" applyFont="1" applyBorder="1" applyAlignment="1">
      <alignment vertical="center"/>
    </xf>
    <xf numFmtId="0" fontId="11" fillId="0" borderId="6" xfId="1" applyFont="1" applyBorder="1" applyAlignment="1">
      <alignment vertical="center"/>
    </xf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4" xfId="1" applyFill="1" applyBorder="1" applyAlignment="1">
      <alignment horizontal="center"/>
    </xf>
    <xf numFmtId="0" fontId="2" fillId="2" borderId="6" xfId="1" applyFill="1" applyBorder="1" applyAlignment="1">
      <alignment horizontal="center"/>
    </xf>
    <xf numFmtId="0" fontId="2" fillId="2" borderId="4" xfId="1" applyFill="1" applyBorder="1" applyAlignment="1">
      <alignment horizontal="center" vertical="center"/>
    </xf>
    <xf numFmtId="0" fontId="2" fillId="2" borderId="6" xfId="1" applyFill="1" applyBorder="1" applyAlignment="1">
      <alignment horizontal="center" vertical="center"/>
    </xf>
    <xf numFmtId="0" fontId="2" fillId="2" borderId="9" xfId="1" applyFill="1" applyBorder="1" applyAlignment="1">
      <alignment horizontal="center" vertical="center"/>
    </xf>
    <xf numFmtId="0" fontId="2" fillId="2" borderId="10" xfId="1" applyFill="1" applyBorder="1" applyAlignment="1">
      <alignment horizontal="center" vertical="center"/>
    </xf>
    <xf numFmtId="0" fontId="2" fillId="2" borderId="11" xfId="1" applyFill="1" applyBorder="1" applyAlignment="1">
      <alignment horizontal="center" vertical="center"/>
    </xf>
    <xf numFmtId="0" fontId="2" fillId="2" borderId="12" xfId="1" applyFill="1" applyBorder="1" applyAlignment="1">
      <alignment horizontal="center" vertical="center"/>
    </xf>
    <xf numFmtId="0" fontId="2" fillId="0" borderId="1" xfId="1" applyBorder="1" applyAlignment="1">
      <alignment horizontal="center"/>
    </xf>
    <xf numFmtId="0" fontId="2" fillId="0" borderId="2" xfId="1" applyBorder="1"/>
    <xf numFmtId="0" fontId="10" fillId="0" borderId="2" xfId="1" applyFont="1" applyBorder="1" applyAlignment="1">
      <alignment horizontal="center" vertical="center"/>
    </xf>
    <xf numFmtId="0" fontId="10" fillId="0" borderId="2" xfId="1" applyFont="1" applyBorder="1" applyAlignment="1">
      <alignment vertical="center"/>
    </xf>
    <xf numFmtId="0" fontId="10" fillId="0" borderId="3" xfId="1" applyFont="1" applyBorder="1" applyAlignment="1">
      <alignment vertical="center"/>
    </xf>
    <xf numFmtId="0" fontId="10" fillId="0" borderId="5" xfId="1" applyFont="1" applyBorder="1" applyAlignment="1">
      <alignment vertical="center"/>
    </xf>
    <xf numFmtId="0" fontId="10" fillId="0" borderId="6" xfId="1" applyFont="1" applyBorder="1" applyAlignment="1">
      <alignment vertical="center"/>
    </xf>
    <xf numFmtId="0" fontId="2" fillId="2" borderId="1" xfId="1" applyFill="1" applyBorder="1" applyAlignment="1">
      <alignment horizontal="center"/>
    </xf>
    <xf numFmtId="0" fontId="2" fillId="2" borderId="3" xfId="1" applyFill="1" applyBorder="1"/>
    <xf numFmtId="0" fontId="11" fillId="0" borderId="2" xfId="1" applyFont="1" applyBorder="1" applyAlignment="1">
      <alignment vertical="center"/>
    </xf>
    <xf numFmtId="38" fontId="21" fillId="0" borderId="20" xfId="1" applyNumberFormat="1" applyFont="1" applyBorder="1" applyAlignment="1">
      <alignment horizontal="center" vertical="center" shrinkToFit="1"/>
    </xf>
    <xf numFmtId="0" fontId="2" fillId="0" borderId="21" xfId="1" applyBorder="1" applyAlignment="1">
      <alignment horizontal="center" vertical="center" shrinkToFit="1"/>
    </xf>
    <xf numFmtId="0" fontId="2" fillId="0" borderId="26" xfId="1" applyBorder="1" applyAlignment="1">
      <alignment horizontal="center" vertical="center" shrinkToFit="1"/>
    </xf>
    <xf numFmtId="0" fontId="2" fillId="0" borderId="17" xfId="1" applyBorder="1" applyAlignment="1">
      <alignment horizontal="center" vertical="center" shrinkToFit="1"/>
    </xf>
    <xf numFmtId="0" fontId="24" fillId="0" borderId="23" xfId="1" applyFont="1" applyBorder="1" applyAlignment="1">
      <alignment horizontal="center" vertical="center" shrinkToFit="1"/>
    </xf>
    <xf numFmtId="0" fontId="24" fillId="0" borderId="21" xfId="1" applyFont="1" applyBorder="1" applyAlignment="1">
      <alignment horizontal="center" vertical="center" shrinkToFit="1"/>
    </xf>
    <xf numFmtId="0" fontId="24" fillId="0" borderId="24" xfId="1" applyFont="1" applyBorder="1" applyAlignment="1">
      <alignment horizontal="center" vertical="center" shrinkToFit="1"/>
    </xf>
    <xf numFmtId="0" fontId="24" fillId="0" borderId="16" xfId="1" applyFont="1" applyBorder="1" applyAlignment="1">
      <alignment horizontal="center" vertical="center" shrinkToFit="1"/>
    </xf>
    <xf numFmtId="0" fontId="24" fillId="0" borderId="17" xfId="1" applyFont="1" applyBorder="1" applyAlignment="1">
      <alignment horizontal="center" vertical="center" shrinkToFit="1"/>
    </xf>
    <xf numFmtId="0" fontId="24" fillId="0" borderId="18" xfId="1" applyFont="1" applyBorder="1" applyAlignment="1">
      <alignment horizontal="center" vertical="center" shrinkToFit="1"/>
    </xf>
    <xf numFmtId="176" fontId="25" fillId="0" borderId="23" xfId="1" applyNumberFormat="1" applyFont="1" applyBorder="1" applyAlignment="1">
      <alignment horizontal="center" vertical="center" shrinkToFit="1"/>
    </xf>
    <xf numFmtId="0" fontId="2" fillId="0" borderId="25" xfId="1" applyBorder="1" applyAlignment="1">
      <alignment horizontal="center" vertical="center" shrinkToFit="1"/>
    </xf>
    <xf numFmtId="0" fontId="2" fillId="0" borderId="16" xfId="1" applyBorder="1" applyAlignment="1">
      <alignment horizontal="center" vertical="center" shrinkToFit="1"/>
    </xf>
    <xf numFmtId="0" fontId="2" fillId="0" borderId="19" xfId="1" applyBorder="1" applyAlignment="1">
      <alignment horizontal="center" vertical="center" shrinkToFit="1"/>
    </xf>
    <xf numFmtId="0" fontId="21" fillId="0" borderId="17" xfId="1" applyFont="1" applyBorder="1" applyAlignment="1">
      <alignment vertical="center" shrinkToFit="1"/>
    </xf>
    <xf numFmtId="0" fontId="9" fillId="0" borderId="17" xfId="1" applyFont="1" applyBorder="1" applyAlignment="1">
      <alignment horizontal="center" vertical="center" shrinkToFit="1"/>
    </xf>
    <xf numFmtId="0" fontId="9" fillId="0" borderId="17" xfId="1" applyFont="1" applyBorder="1" applyAlignment="1">
      <alignment vertical="center" shrinkToFit="1"/>
    </xf>
    <xf numFmtId="0" fontId="9" fillId="0" borderId="18" xfId="1" applyFont="1" applyBorder="1" applyAlignment="1">
      <alignment vertical="center" shrinkToFit="1"/>
    </xf>
    <xf numFmtId="38" fontId="22" fillId="0" borderId="7" xfId="1" applyNumberFormat="1" applyFont="1" applyBorder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22" fillId="0" borderId="8" xfId="1" applyFont="1" applyBorder="1" applyAlignment="1">
      <alignment horizontal="center" vertical="center"/>
    </xf>
    <xf numFmtId="0" fontId="22" fillId="0" borderId="7" xfId="1" applyFont="1" applyBorder="1" applyAlignment="1">
      <alignment horizontal="center" vertical="center"/>
    </xf>
    <xf numFmtId="0" fontId="22" fillId="0" borderId="26" xfId="1" applyFont="1" applyBorder="1" applyAlignment="1">
      <alignment horizontal="center" vertical="center"/>
    </xf>
    <xf numFmtId="0" fontId="22" fillId="0" borderId="17" xfId="1" applyFont="1" applyBorder="1" applyAlignment="1">
      <alignment horizontal="center" vertical="center"/>
    </xf>
    <xf numFmtId="0" fontId="22" fillId="0" borderId="19" xfId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0" fontId="14" fillId="0" borderId="7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15" fillId="0" borderId="12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shrinkToFit="1"/>
    </xf>
    <xf numFmtId="176" fontId="20" fillId="0" borderId="0" xfId="2" applyNumberFormat="1" applyFont="1" applyBorder="1" applyAlignment="1" applyProtection="1">
      <alignment horizontal="center" vertical="center"/>
    </xf>
    <xf numFmtId="176" fontId="20" fillId="0" borderId="0" xfId="1" applyNumberFormat="1" applyFont="1" applyAlignment="1">
      <alignment horizontal="center" vertical="center"/>
    </xf>
    <xf numFmtId="0" fontId="12" fillId="2" borderId="13" xfId="1" applyFont="1" applyFill="1" applyBorder="1" applyAlignment="1">
      <alignment horizontal="center" vertical="center"/>
    </xf>
    <xf numFmtId="0" fontId="12" fillId="2" borderId="14" xfId="1" applyFont="1" applyFill="1" applyBorder="1" applyAlignment="1">
      <alignment horizontal="center" vertical="center"/>
    </xf>
    <xf numFmtId="0" fontId="12" fillId="2" borderId="15" xfId="1" applyFont="1" applyFill="1" applyBorder="1" applyAlignment="1">
      <alignment horizontal="center" vertical="center"/>
    </xf>
    <xf numFmtId="0" fontId="12" fillId="2" borderId="16" xfId="1" applyFont="1" applyFill="1" applyBorder="1" applyAlignment="1">
      <alignment horizontal="center" vertical="center"/>
    </xf>
    <xf numFmtId="0" fontId="12" fillId="2" borderId="17" xfId="1" applyFont="1" applyFill="1" applyBorder="1" applyAlignment="1">
      <alignment horizontal="center" vertical="center"/>
    </xf>
    <xf numFmtId="0" fontId="12" fillId="2" borderId="18" xfId="1" applyFont="1" applyFill="1" applyBorder="1" applyAlignment="1">
      <alignment horizontal="center" vertical="center"/>
    </xf>
    <xf numFmtId="0" fontId="12" fillId="2" borderId="19" xfId="1" applyFont="1" applyFill="1" applyBorder="1" applyAlignment="1">
      <alignment horizontal="center" vertical="center"/>
    </xf>
    <xf numFmtId="0" fontId="9" fillId="0" borderId="20" xfId="1" applyFont="1" applyBorder="1" applyAlignment="1">
      <alignment horizontal="center" vertical="center"/>
    </xf>
    <xf numFmtId="0" fontId="9" fillId="0" borderId="21" xfId="1" applyFont="1" applyBorder="1" applyAlignment="1">
      <alignment horizontal="center" vertical="center"/>
    </xf>
    <xf numFmtId="0" fontId="9" fillId="0" borderId="24" xfId="1" applyFont="1" applyBorder="1" applyAlignment="1">
      <alignment horizontal="center" vertical="center"/>
    </xf>
    <xf numFmtId="0" fontId="9" fillId="0" borderId="2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9" fillId="0" borderId="18" xfId="1" applyFont="1" applyBorder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6" fontId="26" fillId="0" borderId="23" xfId="1" applyNumberFormat="1" applyFont="1" applyBorder="1" applyAlignment="1">
      <alignment horizontal="center" vertical="center"/>
    </xf>
    <xf numFmtId="6" fontId="26" fillId="0" borderId="21" xfId="1" applyNumberFormat="1" applyFont="1" applyBorder="1" applyAlignment="1">
      <alignment horizontal="center" vertical="center"/>
    </xf>
    <xf numFmtId="6" fontId="26" fillId="0" borderId="24" xfId="1" applyNumberFormat="1" applyFont="1" applyBorder="1" applyAlignment="1">
      <alignment horizontal="center" vertical="center"/>
    </xf>
    <xf numFmtId="6" fontId="26" fillId="0" borderId="16" xfId="1" applyNumberFormat="1" applyFont="1" applyBorder="1" applyAlignment="1">
      <alignment horizontal="center" vertical="center"/>
    </xf>
    <xf numFmtId="6" fontId="26" fillId="0" borderId="17" xfId="1" applyNumberFormat="1" applyFont="1" applyBorder="1" applyAlignment="1">
      <alignment horizontal="center" vertical="center"/>
    </xf>
    <xf numFmtId="6" fontId="26" fillId="0" borderId="18" xfId="1" applyNumberFormat="1" applyFont="1" applyBorder="1" applyAlignment="1">
      <alignment horizontal="center" vertical="center"/>
    </xf>
    <xf numFmtId="6" fontId="26" fillId="0" borderId="23" xfId="3" applyNumberFormat="1" applyFont="1" applyBorder="1" applyAlignment="1">
      <alignment horizontal="center" vertical="center" shrinkToFit="1"/>
    </xf>
    <xf numFmtId="6" fontId="26" fillId="0" borderId="21" xfId="3" applyNumberFormat="1" applyFont="1" applyBorder="1" applyAlignment="1">
      <alignment horizontal="center" vertical="center" shrinkToFit="1"/>
    </xf>
    <xf numFmtId="6" fontId="26" fillId="0" borderId="24" xfId="3" applyNumberFormat="1" applyFont="1" applyBorder="1" applyAlignment="1">
      <alignment horizontal="center" vertical="center" shrinkToFit="1"/>
    </xf>
    <xf numFmtId="6" fontId="26" fillId="0" borderId="16" xfId="3" applyNumberFormat="1" applyFont="1" applyBorder="1" applyAlignment="1">
      <alignment horizontal="center" vertical="center" shrinkToFit="1"/>
    </xf>
    <xf numFmtId="6" fontId="26" fillId="0" borderId="0" xfId="3" applyNumberFormat="1" applyFont="1" applyBorder="1" applyAlignment="1">
      <alignment horizontal="center" vertical="center" shrinkToFit="1"/>
    </xf>
    <xf numFmtId="6" fontId="26" fillId="0" borderId="22" xfId="3" applyNumberFormat="1" applyFont="1" applyBorder="1" applyAlignment="1">
      <alignment horizontal="center" vertical="center" shrinkToFit="1"/>
    </xf>
    <xf numFmtId="6" fontId="26" fillId="0" borderId="32" xfId="3" applyNumberFormat="1" applyFont="1" applyBorder="1" applyAlignment="1">
      <alignment horizontal="center" vertical="center" shrinkToFit="1"/>
    </xf>
    <xf numFmtId="6" fontId="26" fillId="0" borderId="25" xfId="3" applyNumberFormat="1" applyFont="1" applyBorder="1" applyAlignment="1">
      <alignment horizontal="center" vertical="center" shrinkToFit="1"/>
    </xf>
    <xf numFmtId="6" fontId="26" fillId="0" borderId="8" xfId="3" applyNumberFormat="1" applyFont="1" applyBorder="1" applyAlignment="1">
      <alignment horizontal="center" vertical="center" shrinkToFit="1"/>
    </xf>
    <xf numFmtId="0" fontId="12" fillId="2" borderId="27" xfId="1" applyFont="1" applyFill="1" applyBorder="1" applyAlignment="1">
      <alignment horizontal="center" vertical="center"/>
    </xf>
    <xf numFmtId="0" fontId="12" fillId="2" borderId="28" xfId="1" applyFont="1" applyFill="1" applyBorder="1" applyAlignment="1">
      <alignment horizontal="center" vertical="center"/>
    </xf>
    <xf numFmtId="0" fontId="12" fillId="2" borderId="29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2" fillId="2" borderId="28" xfId="1" applyFont="1" applyFill="1" applyBorder="1"/>
    <xf numFmtId="0" fontId="12" fillId="2" borderId="29" xfId="1" applyFont="1" applyFill="1" applyBorder="1"/>
    <xf numFmtId="0" fontId="12" fillId="2" borderId="31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4">
    <cellStyle name="ハイパーリンク" xfId="2" builtinId="8"/>
    <cellStyle name="桁区切り 2" xfId="3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590550</xdr:colOff>
      <xdr:row>7</xdr:row>
      <xdr:rowOff>66675</xdr:rowOff>
    </xdr:from>
    <xdr:to>
      <xdr:col>28</xdr:col>
      <xdr:colOff>47625</xdr:colOff>
      <xdr:row>8</xdr:row>
      <xdr:rowOff>85725</xdr:rowOff>
    </xdr:to>
    <xdr:sp macro="" textlink="">
      <xdr:nvSpPr>
        <xdr:cNvPr id="11" name="1-1">
          <a:extLst>
            <a:ext uri="{FF2B5EF4-FFF2-40B4-BE49-F238E27FC236}">
              <a16:creationId xmlns="" xmlns:a16="http://schemas.microsoft.com/office/drawing/2014/main" id="{8D9AC8E4-AD99-4E88-A170-D124289CC136}"/>
            </a:ext>
          </a:extLst>
        </xdr:cNvPr>
        <xdr:cNvSpPr>
          <a:spLocks noChangeArrowheads="1"/>
        </xdr:cNvSpPr>
      </xdr:nvSpPr>
      <xdr:spPr bwMode="auto">
        <a:xfrm>
          <a:off x="6391275" y="1419225"/>
          <a:ext cx="266700" cy="190500"/>
        </a:xfrm>
        <a:prstGeom prst="ellips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30</xdr:col>
      <xdr:colOff>62440</xdr:colOff>
      <xdr:row>1</xdr:row>
      <xdr:rowOff>21167</xdr:rowOff>
    </xdr:from>
    <xdr:to>
      <xdr:col>31</xdr:col>
      <xdr:colOff>550333</xdr:colOff>
      <xdr:row>5</xdr:row>
      <xdr:rowOff>10583</xdr:rowOff>
    </xdr:to>
    <xdr:sp macro="[1]!Sheet15.QBIS" textlink="">
      <xdr:nvSpPr>
        <xdr:cNvPr id="12" name="0">
          <a:extLst>
            <a:ext uri="{FF2B5EF4-FFF2-40B4-BE49-F238E27FC236}">
              <a16:creationId xmlns="" xmlns:a16="http://schemas.microsoft.com/office/drawing/2014/main" id="{F55A2761-0589-4BC8-8E76-A018B9A6CE1F}"/>
            </a:ext>
          </a:extLst>
        </xdr:cNvPr>
        <xdr:cNvSpPr/>
      </xdr:nvSpPr>
      <xdr:spPr>
        <a:xfrm>
          <a:off x="8116357" y="190500"/>
          <a:ext cx="1175809" cy="8255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 b="1">
              <a:latin typeface="メイリオ" pitchFamily="50" charset="-128"/>
              <a:ea typeface="メイリオ" pitchFamily="50" charset="-128"/>
            </a:rPr>
            <a:t>実行</a:t>
          </a:r>
        </a:p>
      </xdr:txBody>
    </xdr:sp>
    <xdr:clientData/>
  </xdr:twoCellAnchor>
  <xdr:twoCellAnchor>
    <xdr:from>
      <xdr:col>32</xdr:col>
      <xdr:colOff>38100</xdr:colOff>
      <xdr:row>1</xdr:row>
      <xdr:rowOff>180975</xdr:rowOff>
    </xdr:from>
    <xdr:to>
      <xdr:col>35</xdr:col>
      <xdr:colOff>566330</xdr:colOff>
      <xdr:row>12</xdr:row>
      <xdr:rowOff>152400</xdr:rowOff>
    </xdr:to>
    <xdr:sp macro="" textlink="">
      <xdr:nvSpPr>
        <xdr:cNvPr id="22" name="テキスト ボックス 21">
          <a:extLst>
            <a:ext uri="{FF2B5EF4-FFF2-40B4-BE49-F238E27FC236}">
              <a16:creationId xmlns="" xmlns:a16="http://schemas.microsoft.com/office/drawing/2014/main" id="{91D16F5B-0A2D-4BB0-9D50-9B35CADBD3EA}"/>
            </a:ext>
          </a:extLst>
        </xdr:cNvPr>
        <xdr:cNvSpPr txBox="1"/>
      </xdr:nvSpPr>
      <xdr:spPr>
        <a:xfrm>
          <a:off x="9439275" y="352425"/>
          <a:ext cx="2585630" cy="2009775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ja-JP" altLang="en-US" sz="1100" b="0">
              <a:latin typeface="MS UI Gothic" panose="020B0600070205080204" pitchFamily="50" charset="-128"/>
              <a:ea typeface="MS UI Gothic" panose="020B0600070205080204" pitchFamily="50" charset="-128"/>
            </a:rPr>
            <a:t>＜入力　使い方＞</a:t>
          </a:r>
          <a:endParaRPr kumimoji="1" lang="en-US" altLang="ja-JP" sz="1100" b="0"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r>
            <a:rPr kumimoji="1" lang="ja-JP" altLang="en-US" sz="1100" b="0">
              <a:latin typeface="MS UI Gothic" panose="020B0600070205080204" pitchFamily="50" charset="-128"/>
              <a:ea typeface="MS UI Gothic" panose="020B0600070205080204" pitchFamily="50" charset="-128"/>
            </a:rPr>
            <a:t>①指定の画面を開く</a:t>
          </a:r>
          <a:endParaRPr kumimoji="1" lang="en-US" altLang="ja-JP" sz="1100" b="0"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r>
            <a:rPr kumimoji="1" lang="ja-JP" altLang="en-US" sz="1100" b="0">
              <a:latin typeface="MS UI Gothic" panose="020B0600070205080204" pitchFamily="50" charset="-128"/>
              <a:ea typeface="MS UI Gothic" panose="020B0600070205080204" pitchFamily="50" charset="-128"/>
            </a:rPr>
            <a:t>　（購入依頼入力の最初の画面）</a:t>
          </a:r>
          <a:endParaRPr kumimoji="1" lang="en-US" altLang="ja-JP" sz="1100" b="0"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r>
            <a:rPr kumimoji="1" lang="ja-JP" altLang="en-US" sz="1100" b="0">
              <a:latin typeface="MS UI Gothic" panose="020B0600070205080204" pitchFamily="50" charset="-128"/>
              <a:ea typeface="MS UI Gothic" panose="020B0600070205080204" pitchFamily="50" charset="-128"/>
            </a:rPr>
            <a:t>　</a:t>
          </a:r>
          <a:r>
            <a:rPr kumimoji="1" lang="en-US" altLang="ja-JP" sz="1100" b="1" u="sng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rPr>
            <a:t>※</a:t>
          </a:r>
          <a:r>
            <a:rPr kumimoji="1" lang="ja-JP" altLang="en-US" sz="1100" b="1" u="sng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rPr>
            <a:t>タイムアウト注意</a:t>
          </a:r>
          <a:endParaRPr kumimoji="1" lang="en-US" altLang="ja-JP" sz="1100" b="1" u="sng">
            <a:solidFill>
              <a:srgbClr val="FF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endParaRPr kumimoji="1" lang="en-US" altLang="ja-JP" sz="1100" b="1" u="sng">
            <a:solidFill>
              <a:srgbClr val="FF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r>
            <a:rPr kumimoji="1" lang="ja-JP" altLang="en-US" sz="1100" b="0" u="none">
              <a:solidFill>
                <a:sysClr val="windowText" lastClr="000000"/>
              </a:solidFill>
              <a:latin typeface="MS UI Gothic" panose="020B0600070205080204" pitchFamily="50" charset="-128"/>
              <a:ea typeface="MS UI Gothic" panose="020B0600070205080204" pitchFamily="50" charset="-128"/>
            </a:rPr>
            <a:t>②該当する各ページの矢印を押す</a:t>
          </a:r>
          <a:endParaRPr kumimoji="1" lang="en-US" altLang="ja-JP" sz="1100" b="0" u="none">
            <a:solidFill>
              <a:sysClr val="windowText" lastClr="0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endParaRPr kumimoji="1" lang="en-US" altLang="ja-JP" sz="1100" b="0" u="none">
            <a:solidFill>
              <a:sysClr val="windowText" lastClr="0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r>
            <a:rPr kumimoji="1" lang="ja-JP" altLang="en-US" sz="1100" b="0" u="none">
              <a:solidFill>
                <a:sysClr val="windowText" lastClr="000000"/>
              </a:solidFill>
              <a:latin typeface="MS UI Gothic" panose="020B0600070205080204" pitchFamily="50" charset="-128"/>
              <a:ea typeface="MS UI Gothic" panose="020B0600070205080204" pitchFamily="50" charset="-128"/>
            </a:rPr>
            <a:t>③メッセージ参照</a:t>
          </a:r>
          <a:endParaRPr kumimoji="1" lang="en-US" altLang="ja-JP" sz="1100" b="0" u="none">
            <a:solidFill>
              <a:sysClr val="windowText" lastClr="0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endParaRPr kumimoji="1" lang="en-US" altLang="ja-JP" sz="1100" b="0" u="none">
            <a:solidFill>
              <a:sysClr val="windowText" lastClr="0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r>
            <a:rPr kumimoji="1" lang="ja-JP" altLang="en-US" sz="1100" b="0" u="none">
              <a:solidFill>
                <a:sysClr val="windowText" lastClr="000000"/>
              </a:solidFill>
              <a:latin typeface="MS UI Gothic" panose="020B0600070205080204" pitchFamily="50" charset="-128"/>
              <a:ea typeface="MS UI Gothic" panose="020B0600070205080204" pitchFamily="50" charset="-128"/>
            </a:rPr>
            <a:t>④終了</a:t>
          </a:r>
          <a:endParaRPr kumimoji="1" lang="en-US" altLang="ja-JP" sz="1100" b="0" u="none">
            <a:solidFill>
              <a:sysClr val="windowText" lastClr="0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endParaRPr kumimoji="1" lang="en-US" altLang="ja-JP" sz="1100" b="0">
            <a:solidFill>
              <a:srgbClr val="C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  <a:p>
          <a:endParaRPr kumimoji="1" lang="ja-JP" altLang="en-US" sz="1100" b="0">
            <a:solidFill>
              <a:srgbClr val="C00000"/>
            </a:solidFill>
            <a:latin typeface="MS UI Gothic" panose="020B0600070205080204" pitchFamily="50" charset="-128"/>
            <a:ea typeface="MS UI Gothic" panose="020B0600070205080204" pitchFamily="50" charset="-128"/>
          </a:endParaRPr>
        </a:p>
      </xdr:txBody>
    </xdr:sp>
    <xdr:clientData/>
  </xdr:twoCellAnchor>
  <xdr:twoCellAnchor>
    <xdr:from>
      <xdr:col>34</xdr:col>
      <xdr:colOff>628650</xdr:colOff>
      <xdr:row>4</xdr:row>
      <xdr:rowOff>19050</xdr:rowOff>
    </xdr:from>
    <xdr:to>
      <xdr:col>35</xdr:col>
      <xdr:colOff>352425</xdr:colOff>
      <xdr:row>4</xdr:row>
      <xdr:rowOff>19050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7F8EF474-4332-40A0-A47D-CDD1085F43CD}"/>
            </a:ext>
          </a:extLst>
        </xdr:cNvPr>
        <xdr:cNvCxnSpPr/>
      </xdr:nvCxnSpPr>
      <xdr:spPr>
        <a:xfrm flipV="1">
          <a:off x="11401425" y="857250"/>
          <a:ext cx="409575" cy="0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OMMON\&#9670;&#25216;&#34899;&#35506;\&#20462;&#32341;&#36027;&#30446;\55&#26399;&#20462;&#26126;_Ver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修繕費内訳表"/>
      <sheetName val="入力ｼｰﾄ "/>
      <sheetName val="修繕発注明細（上期）"/>
      <sheetName val="修繕発注明細（下期）"/>
      <sheetName val="発注報告書"/>
      <sheetName val="リスト"/>
      <sheetName val="原価工程変更（2022年3月～運用開始）"/>
      <sheetName val="ﾊﾞｰｺｰﾄﾞﾘｽﾄ"/>
      <sheetName val="修繕（削減率）"/>
      <sheetName val="棚卸"/>
      <sheetName val="55期修明_Ver2"/>
    </sheetNames>
    <definedNames>
      <definedName name="Sheet15.QBIS"/>
    </definedNames>
    <sheetDataSet>
      <sheetData sheetId="0" refreshError="1"/>
      <sheetData sheetId="1">
        <row r="1">
          <cell r="E1">
            <v>55</v>
          </cell>
        </row>
      </sheetData>
      <sheetData sheetId="2" refreshError="1"/>
      <sheetData sheetId="3" refreshError="1"/>
      <sheetData sheetId="4"/>
      <sheetData sheetId="5">
        <row r="2">
          <cell r="A2" t="str">
            <v>取引先リスト</v>
          </cell>
        </row>
        <row r="4">
          <cell r="A4" t="str">
            <v>アイティーアイ福岡</v>
          </cell>
          <cell r="N4" t="str">
            <v>鴨川　寛</v>
          </cell>
          <cell r="R4" t="str">
            <v>g</v>
          </cell>
          <cell r="AE4" t="str">
            <v>一般</v>
          </cell>
        </row>
        <row r="5">
          <cell r="A5" t="str">
            <v>アイティーアイ長崎</v>
          </cell>
          <cell r="N5" t="str">
            <v>浦</v>
          </cell>
          <cell r="R5" t="str">
            <v>kg</v>
          </cell>
          <cell r="AE5" t="str">
            <v>定修</v>
          </cell>
        </row>
        <row r="6">
          <cell r="A6" t="str">
            <v>ｱｲﾃｨｰｴｯｸｽ佐世保</v>
          </cell>
          <cell r="N6" t="str">
            <v>山下　勝也</v>
          </cell>
          <cell r="R6" t="str">
            <v>t</v>
          </cell>
        </row>
        <row r="7">
          <cell r="A7" t="str">
            <v>アクアパス</v>
          </cell>
          <cell r="N7" t="str">
            <v>迎</v>
          </cell>
          <cell r="R7" t="str">
            <v>P</v>
          </cell>
        </row>
        <row r="8">
          <cell r="A8" t="str">
            <v>アクア工学</v>
          </cell>
          <cell r="N8" t="str">
            <v>池田　元康</v>
          </cell>
          <cell r="R8" t="str">
            <v>U</v>
          </cell>
        </row>
        <row r="9">
          <cell r="A9" t="str">
            <v>旭精機</v>
          </cell>
          <cell r="N9" t="str">
            <v>前田　智章</v>
          </cell>
          <cell r="R9" t="str">
            <v>m</v>
          </cell>
        </row>
        <row r="10">
          <cell r="A10" t="str">
            <v>アシック</v>
          </cell>
          <cell r="N10" t="str">
            <v>瀬戸口啓昌</v>
          </cell>
          <cell r="R10" t="str">
            <v>m3</v>
          </cell>
        </row>
        <row r="11">
          <cell r="A11" t="str">
            <v>アズビル西九州</v>
          </cell>
        </row>
        <row r="12">
          <cell r="A12" t="str">
            <v>Astemo＆ナガノ本社</v>
          </cell>
        </row>
        <row r="13">
          <cell r="A13" t="str">
            <v>アトックＤ１転売</v>
          </cell>
        </row>
        <row r="14">
          <cell r="A14" t="str">
            <v>アトック福島工場</v>
          </cell>
        </row>
        <row r="15">
          <cell r="A15" t="str">
            <v>アドバンスドエナジー</v>
          </cell>
        </row>
        <row r="16">
          <cell r="A16" t="str">
            <v>アピステ本社</v>
          </cell>
        </row>
        <row r="17">
          <cell r="A17" t="str">
            <v>アマノ</v>
          </cell>
        </row>
        <row r="18">
          <cell r="A18" t="str">
            <v>アミカル</v>
          </cell>
        </row>
        <row r="19">
          <cell r="A19" t="str">
            <v>㈱アメロイド日本サービス社</v>
          </cell>
        </row>
        <row r="20">
          <cell r="A20" t="str">
            <v>アメテック（ザイゴ）株式会社</v>
          </cell>
        </row>
        <row r="21">
          <cell r="A21" t="str">
            <v>アメテック株式会社</v>
          </cell>
        </row>
        <row r="22">
          <cell r="A22" t="str">
            <v>天草光学</v>
          </cell>
        </row>
        <row r="23">
          <cell r="A23" t="str">
            <v>アルバック九州</v>
          </cell>
        </row>
        <row r="24">
          <cell r="A24" t="str">
            <v>アルバック長崎</v>
          </cell>
        </row>
        <row r="25">
          <cell r="A25" t="str">
            <v>ｱﾙﾌｧ技研</v>
          </cell>
        </row>
        <row r="26">
          <cell r="A26" t="str">
            <v>飯山特殊硝子本社</v>
          </cell>
        </row>
        <row r="27">
          <cell r="A27" t="str">
            <v>池田工業</v>
          </cell>
        </row>
        <row r="28">
          <cell r="A28" t="str">
            <v>イシマル</v>
          </cell>
        </row>
        <row r="29">
          <cell r="A29" t="str">
            <v>ＩＳＳリアライズ</v>
          </cell>
        </row>
        <row r="30">
          <cell r="A30" t="str">
            <v>イマナガ</v>
          </cell>
        </row>
        <row r="31">
          <cell r="A31" t="str">
            <v>ＩＭＡＲＩ</v>
          </cell>
        </row>
        <row r="32">
          <cell r="A32" t="str">
            <v>イワキ九州</v>
          </cell>
        </row>
        <row r="33">
          <cell r="A33" t="str">
            <v>岩本製作所</v>
          </cell>
        </row>
        <row r="34">
          <cell r="A34" t="str">
            <v>ウラヤマ</v>
          </cell>
        </row>
        <row r="35">
          <cell r="A35" t="str">
            <v>英和</v>
          </cell>
        </row>
        <row r="36">
          <cell r="A36" t="str">
            <v>ＦＩＴリーディン</v>
          </cell>
        </row>
        <row r="37">
          <cell r="A37" t="str">
            <v>SKｿﾘｭｰｼｮﾝ</v>
          </cell>
        </row>
        <row r="38">
          <cell r="A38" t="str">
            <v>NXｴﾝｼﾞﾆｱﾘﾝｸﾞ</v>
          </cell>
        </row>
        <row r="39">
          <cell r="A39" t="str">
            <v>エムケー精工</v>
          </cell>
        </row>
        <row r="40">
          <cell r="A40" t="str">
            <v>エレテクス本社</v>
          </cell>
        </row>
        <row r="41">
          <cell r="A41" t="str">
            <v>株式会社ｴｷｽﾌﾟﾚｽ二十一</v>
          </cell>
        </row>
        <row r="42">
          <cell r="A42" t="str">
            <v>旺計社</v>
          </cell>
        </row>
        <row r="43">
          <cell r="A43" t="str">
            <v>大野社九州</v>
          </cell>
        </row>
        <row r="44">
          <cell r="A44" t="str">
            <v>大倉電気</v>
          </cell>
        </row>
        <row r="45">
          <cell r="A45" t="str">
            <v>岡崎製作所長崎</v>
          </cell>
        </row>
        <row r="46">
          <cell r="A46" t="str">
            <v>岡本光学</v>
          </cell>
        </row>
        <row r="47">
          <cell r="A47" t="str">
            <v>岡城産業</v>
          </cell>
        </row>
        <row r="48">
          <cell r="A48" t="str">
            <v>オハラ</v>
          </cell>
        </row>
        <row r="49">
          <cell r="A49" t="str">
            <v>オハラ計測ＳＳ</v>
          </cell>
        </row>
        <row r="50">
          <cell r="A50" t="str">
            <v>オリエント産業株式会社　長崎支店</v>
          </cell>
        </row>
        <row r="51">
          <cell r="A51" t="str">
            <v>ＯＭＳ販売福岡</v>
          </cell>
        </row>
        <row r="52">
          <cell r="A52" t="str">
            <v>春日電機福岡</v>
          </cell>
        </row>
        <row r="53">
          <cell r="A53" t="str">
            <v>勝山精機九州</v>
          </cell>
        </row>
        <row r="54">
          <cell r="A54" t="str">
            <v>加藤器械商会</v>
          </cell>
        </row>
        <row r="55">
          <cell r="A55" t="str">
            <v>株式会社Ｋａｍｏｇａｗａ</v>
          </cell>
        </row>
        <row r="56">
          <cell r="A56" t="str">
            <v>ｶﾅﾃﾞﾝ</v>
          </cell>
        </row>
        <row r="57">
          <cell r="A57" t="str">
            <v>株式会社東陽</v>
          </cell>
        </row>
        <row r="58">
          <cell r="A58" t="str">
            <v>九州ｱﾗｰﾑｻｰﾋﾞｽ</v>
          </cell>
        </row>
        <row r="59">
          <cell r="A59" t="str">
            <v>九州ＣＩＣ研究所</v>
          </cell>
        </row>
        <row r="60">
          <cell r="A60" t="str">
            <v>九州三菱販売久留米</v>
          </cell>
        </row>
        <row r="61">
          <cell r="A61" t="str">
            <v>九州テラオカ佐</v>
          </cell>
        </row>
        <row r="62">
          <cell r="A62" t="str">
            <v>九州リオン</v>
          </cell>
        </row>
        <row r="63">
          <cell r="A63" t="str">
            <v>九州日立佐世保</v>
          </cell>
        </row>
        <row r="64">
          <cell r="A64" t="str">
            <v>九州電気保安協会佐世保</v>
          </cell>
        </row>
        <row r="65">
          <cell r="A65" t="str">
            <v>京セラ九州</v>
          </cell>
        </row>
        <row r="66">
          <cell r="A66" t="str">
            <v>共和工機</v>
          </cell>
        </row>
        <row r="67">
          <cell r="A67" t="str">
            <v>共進産業</v>
          </cell>
        </row>
        <row r="68">
          <cell r="A68" t="str">
            <v>協和商工</v>
          </cell>
        </row>
        <row r="69">
          <cell r="A69" t="str">
            <v>極東商会</v>
          </cell>
        </row>
        <row r="70">
          <cell r="A70" t="str">
            <v>キーエンス福岡</v>
          </cell>
        </row>
        <row r="71">
          <cell r="A71" t="str">
            <v>キムラ・マテック</v>
          </cell>
        </row>
        <row r="72">
          <cell r="A72" t="str">
            <v>キャタピラー九州</v>
          </cell>
        </row>
        <row r="73">
          <cell r="A73" t="str">
            <v>キヤノンＭＪ</v>
          </cell>
        </row>
        <row r="74">
          <cell r="A74" t="str">
            <v>キヤノンオプトロン</v>
          </cell>
        </row>
        <row r="75">
          <cell r="A75" t="str">
            <v>九州電力送配電</v>
          </cell>
        </row>
        <row r="76">
          <cell r="A76" t="str">
            <v>九州ワーク</v>
          </cell>
        </row>
        <row r="77">
          <cell r="A77" t="str">
            <v>九州特機</v>
          </cell>
        </row>
        <row r="78">
          <cell r="A78" t="str">
            <v>九州運輸建設</v>
          </cell>
        </row>
        <row r="79">
          <cell r="A79" t="str">
            <v>空研工業</v>
          </cell>
        </row>
        <row r="80">
          <cell r="A80" t="str">
            <v>クマリフト長崎</v>
          </cell>
        </row>
        <row r="81">
          <cell r="A81" t="str">
            <v>クラフティア</v>
          </cell>
        </row>
        <row r="82">
          <cell r="A82" t="str">
            <v>栗田工業九州</v>
          </cell>
        </row>
        <row r="83">
          <cell r="A83" t="str">
            <v>クリタ西日本</v>
          </cell>
        </row>
        <row r="84">
          <cell r="A84" t="str">
            <v>ｸﾘｰﾝｻｰﾋﾞｽ</v>
          </cell>
        </row>
        <row r="85">
          <cell r="A85" t="str">
            <v>光和</v>
          </cell>
        </row>
        <row r="86">
          <cell r="A86" t="str">
            <v>高和産業</v>
          </cell>
        </row>
        <row r="87">
          <cell r="A87" t="str">
            <v>古賀実業</v>
          </cell>
        </row>
        <row r="88">
          <cell r="A88" t="str">
            <v>小谷工業所本社</v>
          </cell>
        </row>
        <row r="89">
          <cell r="A89" t="str">
            <v>小谷工業所新門司</v>
          </cell>
        </row>
        <row r="90">
          <cell r="A90" t="str">
            <v>コヒレント・ジャパン</v>
          </cell>
        </row>
        <row r="91">
          <cell r="A91" t="str">
            <v>西海水処理</v>
          </cell>
        </row>
        <row r="92">
          <cell r="A92" t="str">
            <v>西海地研</v>
          </cell>
        </row>
        <row r="93">
          <cell r="A93" t="str">
            <v>佐伯鉄工所</v>
          </cell>
        </row>
        <row r="94">
          <cell r="A94" t="str">
            <v>佐々木設計</v>
          </cell>
        </row>
        <row r="95">
          <cell r="A95" t="str">
            <v>桜木理化学機械</v>
          </cell>
        </row>
        <row r="96">
          <cell r="A96" t="str">
            <v>三陽保安産業</v>
          </cell>
        </row>
        <row r="97">
          <cell r="A97" t="str">
            <v>させぼワークサービス</v>
          </cell>
        </row>
        <row r="98">
          <cell r="A98" t="str">
            <v>サンキ</v>
          </cell>
        </row>
        <row r="99">
          <cell r="A99" t="str">
            <v>ＳＵＮＸ</v>
          </cell>
        </row>
        <row r="100">
          <cell r="A100" t="str">
            <v>SUS九州</v>
          </cell>
        </row>
        <row r="101">
          <cell r="A101" t="str">
            <v>サンセラミックス</v>
          </cell>
        </row>
        <row r="102">
          <cell r="A102" t="str">
            <v>サンテクノ</v>
          </cell>
        </row>
        <row r="103">
          <cell r="A103" t="str">
            <v>三和シャッタ佐</v>
          </cell>
        </row>
        <row r="104">
          <cell r="A104" t="str">
            <v>三球電機</v>
          </cell>
        </row>
        <row r="105">
          <cell r="A105" t="str">
            <v>GCE</v>
          </cell>
        </row>
        <row r="106">
          <cell r="A106" t="str">
            <v>ｼﾞｪｲﾃｸﾄ北九</v>
          </cell>
        </row>
        <row r="107">
          <cell r="A107" t="str">
            <v>JFEｱﾄﾞﾊﾞﾝﾃｯｸ</v>
          </cell>
        </row>
        <row r="108">
          <cell r="A108" t="str">
            <v>シグマ光機九州</v>
          </cell>
        </row>
        <row r="109">
          <cell r="A109" t="str">
            <v>システック井上</v>
          </cell>
        </row>
        <row r="110">
          <cell r="A110" t="str">
            <v>システムズナカシマ</v>
          </cell>
        </row>
        <row r="111">
          <cell r="A111" t="str">
            <v>自然環境保全</v>
          </cell>
        </row>
        <row r="112">
          <cell r="A112" t="str">
            <v>信電本社</v>
          </cell>
        </row>
        <row r="113">
          <cell r="A113" t="str">
            <v>シバタ石英</v>
          </cell>
        </row>
        <row r="114">
          <cell r="A114" t="str">
            <v>SEE本社</v>
          </cell>
        </row>
        <row r="115">
          <cell r="A115" t="str">
            <v>ＳＥＥ北陸</v>
          </cell>
        </row>
        <row r="116">
          <cell r="A116" t="str">
            <v>ＳＥＥ新潟</v>
          </cell>
        </row>
        <row r="117">
          <cell r="A117" t="str">
            <v>アステック本社</v>
          </cell>
        </row>
        <row r="118">
          <cell r="A118" t="str">
            <v>アステック武生</v>
          </cell>
        </row>
        <row r="119">
          <cell r="A119" t="str">
            <v>テクノカーボン福岡</v>
          </cell>
        </row>
        <row r="120">
          <cell r="A120" t="str">
            <v>ファインテック</v>
          </cell>
        </row>
        <row r="121">
          <cell r="A121" t="str">
            <v>ファイン東北</v>
          </cell>
        </row>
        <row r="122">
          <cell r="A122" t="str">
            <v>新東工業宇都宮</v>
          </cell>
        </row>
        <row r="123">
          <cell r="A123" t="str">
            <v>新東工業九州事業所</v>
          </cell>
        </row>
        <row r="124">
          <cell r="A124" t="str">
            <v>新川電機</v>
          </cell>
        </row>
        <row r="125">
          <cell r="A125" t="str">
            <v>新光エンジニア</v>
          </cell>
        </row>
        <row r="126">
          <cell r="A126" t="str">
            <v>新菱本社</v>
          </cell>
        </row>
        <row r="127">
          <cell r="A127" t="str">
            <v>神鋼商事</v>
          </cell>
        </row>
        <row r="128">
          <cell r="A128" t="str">
            <v>信越化学精密</v>
          </cell>
        </row>
        <row r="129">
          <cell r="A129" t="str">
            <v>新日本非破壊検査</v>
          </cell>
        </row>
        <row r="130">
          <cell r="A130" t="str">
            <v>Ｊ＆Ｋビジネス</v>
          </cell>
        </row>
        <row r="131">
          <cell r="A131" t="str">
            <v>ｼﾞｬﾊﾟﾝﾏｼﾅﾘｰ九州</v>
          </cell>
        </row>
        <row r="132">
          <cell r="A132" t="str">
            <v>ＪＮＣフィルタ大阪</v>
          </cell>
        </row>
        <row r="133">
          <cell r="A133" t="str">
            <v>ジャスコエンジ</v>
          </cell>
        </row>
        <row r="134">
          <cell r="A134" t="str">
            <v>食品衛生協会</v>
          </cell>
        </row>
        <row r="135">
          <cell r="A135" t="str">
            <v>末松九機</v>
          </cell>
        </row>
        <row r="136">
          <cell r="A136" t="str">
            <v>末永理化学</v>
          </cell>
        </row>
        <row r="137">
          <cell r="A137" t="str">
            <v>須賀工業</v>
          </cell>
        </row>
        <row r="138">
          <cell r="A138" t="str">
            <v>鈴木治作</v>
          </cell>
        </row>
        <row r="139">
          <cell r="A139" t="str">
            <v>住化分析センター東京</v>
          </cell>
        </row>
        <row r="140">
          <cell r="A140" t="str">
            <v>住化分析センター愛媛</v>
          </cell>
        </row>
        <row r="141">
          <cell r="A141" t="str">
            <v>西部電機</v>
          </cell>
        </row>
        <row r="142">
          <cell r="A142" t="str">
            <v>西部環境調査</v>
          </cell>
        </row>
        <row r="143">
          <cell r="A143" t="str">
            <v>セコム佐世保</v>
          </cell>
        </row>
        <row r="144">
          <cell r="A144" t="str">
            <v>千代</v>
          </cell>
        </row>
        <row r="145">
          <cell r="A145" t="str">
            <v>ゼオン化成</v>
          </cell>
        </row>
        <row r="146">
          <cell r="A146" t="str">
            <v>装苑</v>
          </cell>
        </row>
        <row r="147">
          <cell r="A147" t="str">
            <v>創一貿易</v>
          </cell>
        </row>
        <row r="148">
          <cell r="A148" t="str">
            <v>総和工業</v>
          </cell>
        </row>
        <row r="149">
          <cell r="A149" t="str">
            <v>大平洋機工東京</v>
          </cell>
        </row>
        <row r="150">
          <cell r="A150" t="str">
            <v>台東精機</v>
          </cell>
        </row>
        <row r="151">
          <cell r="A151" t="str">
            <v>高砂貿易</v>
          </cell>
        </row>
        <row r="152">
          <cell r="A152" t="str">
            <v>高田工業所</v>
          </cell>
        </row>
        <row r="153">
          <cell r="A153" t="str">
            <v>武田産業</v>
          </cell>
        </row>
        <row r="154">
          <cell r="A154" t="str">
            <v>武田商事</v>
          </cell>
        </row>
        <row r="155">
          <cell r="A155" t="str">
            <v>竹内製作所大阪</v>
          </cell>
        </row>
        <row r="156">
          <cell r="A156" t="str">
            <v>田中藍</v>
          </cell>
        </row>
        <row r="157">
          <cell r="A157" t="str">
            <v>大亜真空</v>
          </cell>
        </row>
        <row r="158">
          <cell r="A158" t="str">
            <v>ダイセキ</v>
          </cell>
        </row>
        <row r="159">
          <cell r="A159" t="str">
            <v>ダイフク鳥栖</v>
          </cell>
        </row>
        <row r="160">
          <cell r="A160" t="str">
            <v>ダイワ</v>
          </cell>
        </row>
        <row r="161">
          <cell r="A161" t="str">
            <v>タナベ</v>
          </cell>
        </row>
        <row r="162">
          <cell r="A162" t="str">
            <v>ダン・タクマ九州</v>
          </cell>
        </row>
        <row r="163">
          <cell r="A163" t="str">
            <v>第一検査工業本社</v>
          </cell>
        </row>
        <row r="164">
          <cell r="A164" t="str">
            <v>中部セパレーター</v>
          </cell>
        </row>
        <row r="165">
          <cell r="A165" t="str">
            <v>中央環境</v>
          </cell>
        </row>
        <row r="166">
          <cell r="A166" t="str">
            <v>千嶋工業</v>
          </cell>
        </row>
        <row r="167">
          <cell r="A167" t="str">
            <v>千代田交易大阪</v>
          </cell>
        </row>
        <row r="168">
          <cell r="A168" t="str">
            <v>庭建</v>
          </cell>
        </row>
        <row r="169">
          <cell r="A169" t="str">
            <v>テクノセラム</v>
          </cell>
        </row>
        <row r="170">
          <cell r="A170" t="str">
            <v>テクノパッキン</v>
          </cell>
        </row>
        <row r="171">
          <cell r="A171" t="str">
            <v>ﾃﾞｻﾞｲﾝ・ｸﾘｴｰｼｮﾝ</v>
          </cell>
        </row>
        <row r="172">
          <cell r="A172" t="str">
            <v>ﾃﾞﾊﾞｲｽ販売ﾃｸﾉ</v>
          </cell>
        </row>
        <row r="173">
          <cell r="A173" t="str">
            <v>テラル</v>
          </cell>
        </row>
        <row r="174">
          <cell r="A174" t="str">
            <v>東テク</v>
          </cell>
        </row>
        <row r="175">
          <cell r="A175" t="str">
            <v>ＴＭＥＩＣ</v>
          </cell>
        </row>
        <row r="176">
          <cell r="A176" t="str">
            <v>東京計装九州</v>
          </cell>
        </row>
        <row r="177">
          <cell r="A177" t="str">
            <v>東海バネ工業本社</v>
          </cell>
        </row>
        <row r="178">
          <cell r="A178" t="str">
            <v>東海興商</v>
          </cell>
        </row>
        <row r="179">
          <cell r="A179" t="str">
            <v>東洋炭素九州</v>
          </cell>
        </row>
        <row r="180">
          <cell r="A180" t="str">
            <v>東鉱商事郡山</v>
          </cell>
        </row>
        <row r="181">
          <cell r="A181" t="str">
            <v>トキコナガノ</v>
          </cell>
        </row>
        <row r="182">
          <cell r="A182" t="str">
            <v>朝永エンジニアリング</v>
          </cell>
        </row>
        <row r="183">
          <cell r="A183" t="str">
            <v>巴商会佐世保</v>
          </cell>
        </row>
        <row r="184">
          <cell r="A184" t="str">
            <v>トヨタＬ＆Ｆ佐世保</v>
          </cell>
        </row>
        <row r="185">
          <cell r="A185" t="str">
            <v>長崎ｼﾞｰｴｽ</v>
          </cell>
        </row>
        <row r="186">
          <cell r="A186" t="str">
            <v>直江津精密加工</v>
          </cell>
        </row>
        <row r="187">
          <cell r="A187" t="str">
            <v>中川内伝導機工</v>
          </cell>
        </row>
        <row r="188">
          <cell r="A188" t="str">
            <v>中尾フィルター</v>
          </cell>
        </row>
        <row r="189">
          <cell r="A189" t="str">
            <v>中尾研磨材工業</v>
          </cell>
        </row>
        <row r="190">
          <cell r="A190" t="str">
            <v>長崎ナブコ</v>
          </cell>
        </row>
        <row r="191">
          <cell r="A191" t="str">
            <v>長崎管材</v>
          </cell>
        </row>
        <row r="192">
          <cell r="A192" t="str">
            <v>日機装大阪</v>
          </cell>
        </row>
        <row r="193">
          <cell r="A193" t="str">
            <v>ニートレックス佐世保</v>
          </cell>
        </row>
        <row r="194">
          <cell r="A194" t="str">
            <v>西日本ビニール工業</v>
          </cell>
        </row>
        <row r="195">
          <cell r="A195" t="str">
            <v>ﾆｼﾑ電子工業</v>
          </cell>
        </row>
        <row r="196">
          <cell r="A196" t="str">
            <v>日興電機製作所</v>
          </cell>
        </row>
        <row r="197">
          <cell r="A197" t="str">
            <v>スウェージロック（東日本）</v>
          </cell>
        </row>
        <row r="198">
          <cell r="A198" t="str">
            <v>日本ＨＰ</v>
          </cell>
        </row>
        <row r="199">
          <cell r="A199" t="str">
            <v>日本アルコル福岡</v>
          </cell>
        </row>
        <row r="200">
          <cell r="A200" t="str">
            <v>日本インテグリス九州</v>
          </cell>
        </row>
        <row r="201">
          <cell r="A201" t="str">
            <v>日本電子福岡</v>
          </cell>
        </row>
        <row r="202">
          <cell r="A202" t="str">
            <v>日本化成黒崎</v>
          </cell>
        </row>
        <row r="203">
          <cell r="A203" t="str">
            <v>日本空調サービス</v>
          </cell>
        </row>
        <row r="204">
          <cell r="A204" t="str">
            <v>日本クレーン協会</v>
          </cell>
        </row>
        <row r="205">
          <cell r="A205" t="str">
            <v>日本分光</v>
          </cell>
        </row>
        <row r="206">
          <cell r="A206" t="str">
            <v>日通佐世保コン</v>
          </cell>
        </row>
        <row r="207">
          <cell r="A207" t="str">
            <v>日通郡山</v>
          </cell>
        </row>
        <row r="208">
          <cell r="A208" t="str">
            <v>ネックス</v>
          </cell>
        </row>
        <row r="209">
          <cell r="A209" t="str">
            <v>ネムス本社</v>
          </cell>
        </row>
        <row r="210">
          <cell r="A210" t="str">
            <v>野中インテック</v>
          </cell>
        </row>
        <row r="211">
          <cell r="A211" t="str">
            <v>ノリタケ北九州</v>
          </cell>
        </row>
        <row r="212">
          <cell r="A212" t="str">
            <v>ハイティック</v>
          </cell>
        </row>
        <row r="213">
          <cell r="A213" t="str">
            <v>初田製作所</v>
          </cell>
        </row>
        <row r="214">
          <cell r="A214" t="str">
            <v>橋口電機</v>
          </cell>
        </row>
        <row r="215">
          <cell r="A215" t="str">
            <v>林兼石油</v>
          </cell>
        </row>
        <row r="216">
          <cell r="A216" t="str">
            <v>ＰＣＳ横須賀</v>
          </cell>
        </row>
        <row r="217">
          <cell r="A217" t="str">
            <v>パシソーワ長崎</v>
          </cell>
        </row>
        <row r="218">
          <cell r="A218" t="str">
            <v>ヒートシステム</v>
          </cell>
        </row>
        <row r="219">
          <cell r="A219" t="str">
            <v>光機設</v>
          </cell>
        </row>
        <row r="220">
          <cell r="A220" t="str">
            <v>光機械製作所</v>
          </cell>
        </row>
        <row r="221">
          <cell r="A221" t="str">
            <v>プロテリアル（旧：日立金属北日本）</v>
          </cell>
        </row>
        <row r="222">
          <cell r="A222" t="str">
            <v>日野出</v>
          </cell>
        </row>
        <row r="223">
          <cell r="A223" t="str">
            <v>広築</v>
          </cell>
        </row>
        <row r="224">
          <cell r="A224" t="str">
            <v>ＶＳＥ福岡</v>
          </cell>
        </row>
        <row r="225">
          <cell r="A225" t="str">
            <v>ビーエフ工業</v>
          </cell>
        </row>
        <row r="226">
          <cell r="A226" t="str">
            <v>微研テクノス</v>
          </cell>
        </row>
        <row r="227">
          <cell r="A227" t="str">
            <v>ピーエス工業</v>
          </cell>
        </row>
        <row r="228">
          <cell r="A228" t="str">
            <v>深町組</v>
          </cell>
        </row>
        <row r="229">
          <cell r="A229" t="str">
            <v>ＫＦＳ</v>
          </cell>
        </row>
        <row r="230">
          <cell r="A230" t="str">
            <v>福井環境分析センター</v>
          </cell>
        </row>
        <row r="231">
          <cell r="A231" t="str">
            <v>福岡テープ</v>
          </cell>
        </row>
        <row r="232">
          <cell r="A232" t="str">
            <v>福留印刷</v>
          </cell>
        </row>
        <row r="233">
          <cell r="A233" t="str">
            <v>フジキン福岡</v>
          </cell>
        </row>
        <row r="234">
          <cell r="A234" t="str">
            <v>藤澤環境開発</v>
          </cell>
        </row>
        <row r="235">
          <cell r="A235" t="str">
            <v>富士工業本社</v>
          </cell>
        </row>
        <row r="236">
          <cell r="A236" t="str">
            <v>富士工機本社</v>
          </cell>
        </row>
        <row r="237">
          <cell r="A237" t="str">
            <v>富士電機長崎</v>
          </cell>
        </row>
        <row r="238">
          <cell r="A238" t="str">
            <v>富士電波本社</v>
          </cell>
        </row>
        <row r="239">
          <cell r="A239" t="str">
            <v>富士電機Ｅ＆Ｃ</v>
          </cell>
        </row>
        <row r="240">
          <cell r="A240" t="str">
            <v>富士商工</v>
          </cell>
        </row>
        <row r="241">
          <cell r="A241" t="str">
            <v>富士ゼロックス長崎</v>
          </cell>
        </row>
        <row r="242">
          <cell r="A242" t="str">
            <v>フジテックス</v>
          </cell>
        </row>
        <row r="243">
          <cell r="A243" t="str">
            <v>不二越機械工業</v>
          </cell>
        </row>
        <row r="244">
          <cell r="A244" t="str">
            <v>冨士樹脂佐々工場</v>
          </cell>
        </row>
        <row r="245">
          <cell r="A245" t="str">
            <v>双葉リース 佐世保</v>
          </cell>
        </row>
        <row r="246">
          <cell r="A246" t="str">
            <v>古川電機製作所</v>
          </cell>
        </row>
        <row r="247">
          <cell r="A247" t="str">
            <v>古河電気工業</v>
          </cell>
        </row>
        <row r="248">
          <cell r="A248" t="str">
            <v>フルヤ金属大阪</v>
          </cell>
        </row>
        <row r="249">
          <cell r="A249" t="str">
            <v>平和防災</v>
          </cell>
        </row>
        <row r="250">
          <cell r="A250" t="str">
            <v>ヘルツ</v>
          </cell>
        </row>
        <row r="251">
          <cell r="A251" t="str">
            <v>ベストパッケージ</v>
          </cell>
        </row>
        <row r="252">
          <cell r="A252" t="str">
            <v>北越商事</v>
          </cell>
        </row>
        <row r="253">
          <cell r="A253" t="str">
            <v>北陸ファン工業</v>
          </cell>
        </row>
        <row r="254">
          <cell r="A254" t="str">
            <v>ポートリンク</v>
          </cell>
        </row>
        <row r="255">
          <cell r="A255" t="str">
            <v>ﾎｼｻﾞｷ北九</v>
          </cell>
        </row>
        <row r="256">
          <cell r="A256" t="str">
            <v>マキシンコー</v>
          </cell>
        </row>
        <row r="257">
          <cell r="A257" t="str">
            <v>マブチＳ＆Ｔ本社</v>
          </cell>
        </row>
        <row r="258">
          <cell r="A258" t="str">
            <v>マブチＳ＆Ｔ関西</v>
          </cell>
        </row>
        <row r="259">
          <cell r="A259" t="str">
            <v>マブチエスティー</v>
          </cell>
        </row>
        <row r="260">
          <cell r="A260" t="str">
            <v>マルタトソウ</v>
          </cell>
        </row>
        <row r="261">
          <cell r="A261" t="str">
            <v>丸井産業佐世保</v>
          </cell>
        </row>
        <row r="262">
          <cell r="A262" t="str">
            <v>ﾐﾁﾅｽ大分</v>
          </cell>
        </row>
        <row r="263">
          <cell r="A263" t="str">
            <v>三菱ビルソリュ佐世保</v>
          </cell>
        </row>
        <row r="264">
          <cell r="A264" t="str">
            <v>三菱電機プラント</v>
          </cell>
        </row>
        <row r="265">
          <cell r="A265" t="str">
            <v>満井電気計測</v>
          </cell>
        </row>
        <row r="266">
          <cell r="A266" t="str">
            <v>ミドリ安全長崎</v>
          </cell>
        </row>
        <row r="267">
          <cell r="A267" t="str">
            <v>宮崎化学</v>
          </cell>
        </row>
        <row r="268">
          <cell r="A268" t="str">
            <v>ミヤマ郡山</v>
          </cell>
        </row>
        <row r="269">
          <cell r="A269" t="str">
            <v>宮本電機</v>
          </cell>
        </row>
        <row r="270">
          <cell r="A270" t="str">
            <v>ムラコシ工業</v>
          </cell>
        </row>
        <row r="271">
          <cell r="A271" t="str">
            <v>村越建設</v>
          </cell>
        </row>
        <row r="272">
          <cell r="A272" t="str">
            <v>ＭＣＫ福岡</v>
          </cell>
        </row>
        <row r="273">
          <cell r="A273" t="str">
            <v>ヤガミ</v>
          </cell>
        </row>
        <row r="274">
          <cell r="A274" t="str">
            <v>八洲産業本社</v>
          </cell>
        </row>
        <row r="275">
          <cell r="A275" t="str">
            <v>矢敷環境保全</v>
          </cell>
        </row>
        <row r="276">
          <cell r="A276" t="str">
            <v>八千代マイクロ</v>
          </cell>
        </row>
        <row r="277">
          <cell r="A277" t="str">
            <v>八千代大阪</v>
          </cell>
        </row>
        <row r="278">
          <cell r="A278" t="str">
            <v>ヤナセ防災</v>
          </cell>
        </row>
        <row r="279">
          <cell r="A279" t="str">
            <v>ＹＳＱ</v>
          </cell>
        </row>
        <row r="280">
          <cell r="A280" t="str">
            <v>山下医科器械</v>
          </cell>
        </row>
        <row r="281">
          <cell r="A281" t="str">
            <v>山里産業福岡営業</v>
          </cell>
        </row>
        <row r="282">
          <cell r="A282" t="str">
            <v>山口マシナリー</v>
          </cell>
        </row>
        <row r="283">
          <cell r="A283" t="str">
            <v>ﾔﾏﾓﾄﾏｼﾝｻｰﾋﾞｽ</v>
          </cell>
        </row>
        <row r="284">
          <cell r="A284" t="str">
            <v>ユーエスアイ佐賀</v>
          </cell>
        </row>
        <row r="285">
          <cell r="A285" t="str">
            <v>ユニオプト本社</v>
          </cell>
        </row>
        <row r="286">
          <cell r="A286" t="str">
            <v>ユニオプト静岡</v>
          </cell>
        </row>
        <row r="287">
          <cell r="A287" t="str">
            <v>ユニパルス本社</v>
          </cell>
        </row>
        <row r="288">
          <cell r="A288" t="str">
            <v>ﾕﾆﾊﾟﾙｽ広島</v>
          </cell>
        </row>
        <row r="289">
          <cell r="A289" t="str">
            <v>吉玉研磨技研</v>
          </cell>
        </row>
        <row r="290">
          <cell r="A290" t="str">
            <v>吉岡幸鯖江</v>
          </cell>
        </row>
        <row r="291">
          <cell r="A291" t="str">
            <v>吉本組</v>
          </cell>
        </row>
        <row r="292">
          <cell r="A292" t="str">
            <v>ラスコ</v>
          </cell>
        </row>
        <row r="293">
          <cell r="A293" t="str">
            <v>ロジスネクスト九州</v>
          </cell>
        </row>
        <row r="294">
          <cell r="A294" t="str">
            <v>菱進</v>
          </cell>
        </row>
        <row r="295">
          <cell r="A295" t="str">
            <v>ワタベ産業九州</v>
          </cell>
        </row>
        <row r="296">
          <cell r="A296" t="str">
            <v>WITT</v>
          </cell>
        </row>
        <row r="297">
          <cell r="A297" t="str">
            <v>渡辺エンジ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2:AG51"/>
  <sheetViews>
    <sheetView tabSelected="1" zoomScale="70" zoomScaleNormal="70" zoomScaleSheetLayoutView="90" workbookViewId="0">
      <selection activeCell="Y18" sqref="Y18"/>
    </sheetView>
  </sheetViews>
  <sheetFormatPr defaultRowHeight="13.5"/>
  <cols>
    <col min="1" max="2" width="6.625" style="5" customWidth="1"/>
    <col min="3" max="17" width="1.375" style="5" customWidth="1"/>
    <col min="18" max="18" width="1.25" style="5" customWidth="1"/>
    <col min="19" max="20" width="3.5" style="5" customWidth="1"/>
    <col min="21" max="21" width="5.75" style="5" customWidth="1"/>
    <col min="22" max="22" width="6.625" style="5" customWidth="1"/>
    <col min="23" max="23" width="6.375" style="5" customWidth="1"/>
    <col min="24" max="24" width="3.625" style="5" customWidth="1"/>
    <col min="25" max="25" width="3.125" style="5" customWidth="1"/>
    <col min="26" max="26" width="8.5" style="5" customWidth="1"/>
    <col min="27" max="27" width="8" style="5" customWidth="1"/>
    <col min="28" max="28" width="2.625" style="5" customWidth="1"/>
    <col min="29" max="29" width="4.125" style="5" customWidth="1"/>
    <col min="30" max="30" width="14.5" style="5" customWidth="1"/>
    <col min="31" max="16384" width="9" style="5"/>
  </cols>
  <sheetData>
    <row r="2" spans="1:30" s="1" customFormat="1" ht="25.5" customHeight="1">
      <c r="B2" s="2"/>
      <c r="C2" s="3"/>
      <c r="D2" s="3"/>
      <c r="E2" s="3"/>
      <c r="F2" s="2"/>
      <c r="G2" s="4"/>
      <c r="H2" s="103" t="s">
        <v>20</v>
      </c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4">
        <v>45658</v>
      </c>
      <c r="AB2" s="104"/>
      <c r="AC2" s="104"/>
      <c r="AD2" s="104"/>
    </row>
    <row r="3" spans="1:30" s="1" customFormat="1" ht="13.5" customHeight="1" thickBot="1">
      <c r="B3" s="2"/>
      <c r="C3" s="4"/>
      <c r="D3" s="4"/>
      <c r="E3" s="4"/>
      <c r="F3" s="2"/>
      <c r="G3" s="4"/>
      <c r="H3" s="4"/>
      <c r="I3" s="4"/>
      <c r="K3" s="5"/>
      <c r="L3" s="6"/>
      <c r="M3" s="6"/>
      <c r="N3" s="6"/>
      <c r="O3" s="5"/>
      <c r="P3" s="6"/>
      <c r="Q3" s="6"/>
      <c r="R3" s="6"/>
    </row>
    <row r="4" spans="1:30" s="1" customFormat="1" ht="14.1" customHeight="1">
      <c r="A4" s="71" t="s">
        <v>0</v>
      </c>
      <c r="B4" s="72"/>
      <c r="C4" s="72"/>
      <c r="D4" s="72"/>
      <c r="E4" s="73"/>
      <c r="F4" s="105" t="s">
        <v>21</v>
      </c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81" t="s">
        <v>22</v>
      </c>
      <c r="Y4" s="82"/>
      <c r="Z4" s="83"/>
      <c r="AA4" s="111"/>
      <c r="AB4" s="113" t="s">
        <v>23</v>
      </c>
      <c r="AC4" s="113"/>
      <c r="AD4" s="115"/>
    </row>
    <row r="5" spans="1:30" s="1" customFormat="1" ht="14.1" customHeight="1" thickBot="1">
      <c r="A5" s="74"/>
      <c r="B5" s="75"/>
      <c r="C5" s="75"/>
      <c r="D5" s="75"/>
      <c r="E5" s="76"/>
      <c r="F5" s="108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10"/>
      <c r="X5" s="84"/>
      <c r="Y5" s="85"/>
      <c r="Z5" s="86"/>
      <c r="AA5" s="112"/>
      <c r="AB5" s="114"/>
      <c r="AC5" s="114"/>
      <c r="AD5" s="116"/>
    </row>
    <row r="6" spans="1:30" s="1" customFormat="1" ht="14.1" customHeight="1">
      <c r="A6" s="71" t="s">
        <v>25</v>
      </c>
      <c r="B6" s="72"/>
      <c r="C6" s="72"/>
      <c r="D6" s="72"/>
      <c r="E6" s="73"/>
      <c r="F6" s="77" t="s">
        <v>24</v>
      </c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81" t="s">
        <v>1</v>
      </c>
      <c r="Y6" s="82"/>
      <c r="Z6" s="83"/>
      <c r="AA6" s="87">
        <v>45667</v>
      </c>
      <c r="AB6" s="88"/>
      <c r="AC6" s="88"/>
      <c r="AD6" s="89"/>
    </row>
    <row r="7" spans="1:30" s="1" customFormat="1" ht="14.1" customHeight="1" thickBot="1">
      <c r="A7" s="74"/>
      <c r="B7" s="75"/>
      <c r="C7" s="75"/>
      <c r="D7" s="75"/>
      <c r="E7" s="76"/>
      <c r="F7" s="79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4"/>
      <c r="Y7" s="85"/>
      <c r="Z7" s="86"/>
      <c r="AA7" s="90"/>
      <c r="AB7" s="91"/>
      <c r="AC7" s="91"/>
      <c r="AD7" s="92"/>
    </row>
    <row r="8" spans="1:30" s="1" customFormat="1" ht="14.1" customHeight="1">
      <c r="A8" s="81" t="s">
        <v>26</v>
      </c>
      <c r="B8" s="82"/>
      <c r="C8" s="82"/>
      <c r="D8" s="82"/>
      <c r="E8" s="83"/>
      <c r="F8" s="93">
        <v>10000</v>
      </c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81" t="s">
        <v>2</v>
      </c>
      <c r="Y8" s="82"/>
      <c r="Z8" s="83"/>
      <c r="AA8" s="97" t="s">
        <v>3</v>
      </c>
      <c r="AB8" s="98"/>
      <c r="AC8" s="98"/>
      <c r="AD8" s="99"/>
    </row>
    <row r="9" spans="1:30" s="1" customFormat="1" ht="14.1" customHeight="1" thickBot="1">
      <c r="A9" s="84"/>
      <c r="B9" s="85"/>
      <c r="C9" s="85"/>
      <c r="D9" s="85"/>
      <c r="E9" s="86"/>
      <c r="F9" s="95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84"/>
      <c r="Y9" s="85"/>
      <c r="Z9" s="86"/>
      <c r="AA9" s="100"/>
      <c r="AB9" s="101"/>
      <c r="AC9" s="101"/>
      <c r="AD9" s="102"/>
    </row>
    <row r="10" spans="1:30" s="1" customFormat="1" ht="14.1" customHeight="1">
      <c r="A10" s="81" t="s">
        <v>4</v>
      </c>
      <c r="B10" s="82"/>
      <c r="C10" s="82"/>
      <c r="D10" s="82"/>
      <c r="E10" s="83"/>
      <c r="F10" s="131" t="s">
        <v>27</v>
      </c>
      <c r="G10" s="132"/>
      <c r="H10" s="132"/>
      <c r="I10" s="132"/>
      <c r="J10" s="132"/>
      <c r="K10" s="132"/>
      <c r="L10" s="132"/>
      <c r="M10" s="132"/>
      <c r="N10" s="132"/>
      <c r="O10" s="133" t="str">
        <f>"*"&amp;F11&amp;"*"</f>
        <v>*test*</v>
      </c>
      <c r="P10" s="134"/>
      <c r="Q10" s="134"/>
      <c r="R10" s="134"/>
      <c r="S10" s="134"/>
      <c r="T10" s="134"/>
      <c r="U10" s="135"/>
      <c r="V10" s="138" t="s">
        <v>27</v>
      </c>
      <c r="W10" s="139"/>
      <c r="X10" s="117" t="str">
        <f>"*"&amp;4002&amp;"*"</f>
        <v>*4002*</v>
      </c>
      <c r="Y10" s="140"/>
      <c r="Z10" s="118"/>
      <c r="AA10" s="138" t="s">
        <v>27</v>
      </c>
      <c r="AB10" s="139"/>
      <c r="AC10" s="117" t="str">
        <f>"*"&amp;AA11&amp;"*"</f>
        <v>*test*</v>
      </c>
      <c r="AD10" s="118"/>
    </row>
    <row r="11" spans="1:30" s="1" customFormat="1" ht="14.1" customHeight="1" thickBot="1">
      <c r="A11" s="84"/>
      <c r="B11" s="85"/>
      <c r="C11" s="85"/>
      <c r="D11" s="85"/>
      <c r="E11" s="86"/>
      <c r="F11" s="121" t="s">
        <v>28</v>
      </c>
      <c r="G11" s="122" t="e">
        <v>#REF!</v>
      </c>
      <c r="H11" s="122" t="e">
        <v>#REF!</v>
      </c>
      <c r="I11" s="122" t="e">
        <v>#REF!</v>
      </c>
      <c r="J11" s="122" t="e">
        <v>#REF!</v>
      </c>
      <c r="K11" s="122" t="e">
        <v>#REF!</v>
      </c>
      <c r="L11" s="122" t="e">
        <v>#REF!</v>
      </c>
      <c r="M11" s="122" t="e">
        <v>#REF!</v>
      </c>
      <c r="N11" s="122" t="e">
        <v>#REF!</v>
      </c>
      <c r="O11" s="136"/>
      <c r="P11" s="136"/>
      <c r="Q11" s="136"/>
      <c r="R11" s="136"/>
      <c r="S11" s="136"/>
      <c r="T11" s="136"/>
      <c r="U11" s="137"/>
      <c r="V11" s="123" t="s">
        <v>28</v>
      </c>
      <c r="W11" s="124"/>
      <c r="X11" s="119"/>
      <c r="Y11" s="119"/>
      <c r="Z11" s="120"/>
      <c r="AA11" s="125" t="s">
        <v>28</v>
      </c>
      <c r="AB11" s="126"/>
      <c r="AC11" s="119"/>
      <c r="AD11" s="120"/>
    </row>
    <row r="12" spans="1:30" s="1" customFormat="1" ht="14.1" customHeight="1">
      <c r="A12" s="7" t="s">
        <v>5</v>
      </c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10"/>
    </row>
    <row r="13" spans="1:30" s="1" customFormat="1" ht="14.1" customHeight="1">
      <c r="A13" s="11"/>
      <c r="B13" s="12"/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5"/>
    </row>
    <row r="14" spans="1:30" s="1" customFormat="1" ht="14.1" customHeight="1">
      <c r="A14" s="11"/>
      <c r="B14" s="12"/>
      <c r="AD14" s="16"/>
    </row>
    <row r="15" spans="1:30" s="1" customFormat="1" ht="14.1" customHeight="1">
      <c r="A15" s="11"/>
      <c r="B15" s="12"/>
      <c r="AD15" s="16"/>
    </row>
    <row r="16" spans="1:30" s="1" customFormat="1" ht="14.1" customHeight="1">
      <c r="A16" s="11"/>
      <c r="B16" s="12"/>
      <c r="AD16" s="16"/>
    </row>
    <row r="17" spans="1:33" s="1" customFormat="1" ht="13.5" customHeight="1">
      <c r="A17" s="11"/>
      <c r="B17" s="12"/>
      <c r="AD17" s="16"/>
      <c r="AE17" s="1" t="s">
        <v>6</v>
      </c>
    </row>
    <row r="18" spans="1:33" s="1" customFormat="1" ht="14.1" customHeight="1">
      <c r="A18" s="11" t="s">
        <v>6</v>
      </c>
      <c r="B18" s="12"/>
      <c r="AD18" s="16"/>
      <c r="AE18" s="1" t="s">
        <v>7</v>
      </c>
      <c r="AG18" s="17"/>
    </row>
    <row r="19" spans="1:33" s="1" customFormat="1" ht="14.1" customHeight="1">
      <c r="A19" s="11"/>
      <c r="B19" s="12"/>
      <c r="AD19" s="16"/>
      <c r="AG19" s="17"/>
    </row>
    <row r="20" spans="1:33" s="1" customFormat="1" ht="14.1" customHeight="1">
      <c r="A20" s="11"/>
      <c r="B20" s="12"/>
      <c r="AD20" s="16"/>
    </row>
    <row r="21" spans="1:33" s="1" customFormat="1" ht="14.1" customHeight="1">
      <c r="A21" s="11"/>
      <c r="B21" s="12"/>
      <c r="AD21" s="16"/>
      <c r="AE21" s="1" t="s">
        <v>6</v>
      </c>
    </row>
    <row r="22" spans="1:33" s="1" customFormat="1" ht="14.1" customHeight="1">
      <c r="A22" s="11"/>
      <c r="B22" s="12"/>
      <c r="AD22" s="16"/>
    </row>
    <row r="23" spans="1:33" s="1" customFormat="1" ht="14.1" customHeight="1">
      <c r="A23" s="11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8"/>
    </row>
    <row r="24" spans="1:33" s="1" customFormat="1" ht="13.5" customHeight="1">
      <c r="A24" s="19"/>
      <c r="B24" s="8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20"/>
      <c r="AB24" s="14"/>
      <c r="AC24" s="20"/>
      <c r="AD24" s="21"/>
    </row>
    <row r="25" spans="1:33" s="1" customFormat="1" ht="14.1" customHeight="1">
      <c r="A25" s="19"/>
      <c r="B25" s="8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22"/>
      <c r="AC25" s="22"/>
      <c r="AD25" s="23"/>
    </row>
    <row r="26" spans="1:33" s="1" customFormat="1" ht="14.1" customHeight="1" thickBot="1">
      <c r="A26" s="19"/>
      <c r="B26" s="5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22"/>
      <c r="AB26" s="24"/>
      <c r="AC26" s="22"/>
      <c r="AD26" s="23"/>
    </row>
    <row r="27" spans="1:33" s="1" customFormat="1" ht="14.1" customHeight="1" thickBot="1">
      <c r="A27" s="127" t="s">
        <v>29</v>
      </c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9"/>
      <c r="V27" s="25"/>
      <c r="W27" s="25"/>
      <c r="X27" s="26"/>
      <c r="Y27" s="27"/>
      <c r="Z27" s="28"/>
      <c r="AA27" s="130" t="s">
        <v>8</v>
      </c>
      <c r="AB27" s="130"/>
      <c r="AC27" s="130"/>
      <c r="AD27" s="29" t="s">
        <v>30</v>
      </c>
    </row>
    <row r="28" spans="1:33" ht="14.1" customHeight="1" thickBot="1">
      <c r="A28" s="166">
        <v>123456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8"/>
      <c r="V28" s="30"/>
      <c r="W28" s="25"/>
      <c r="X28" s="26"/>
      <c r="Y28" s="27"/>
      <c r="Z28" s="28"/>
      <c r="AA28" s="175"/>
      <c r="AB28" s="175"/>
      <c r="AC28" s="175"/>
      <c r="AD28" s="176"/>
    </row>
    <row r="29" spans="1:33" ht="14.1" customHeight="1" thickBot="1">
      <c r="A29" s="169"/>
      <c r="B29" s="170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1"/>
      <c r="V29" s="30"/>
      <c r="X29" s="26"/>
      <c r="Y29" s="27"/>
      <c r="Z29" s="28"/>
      <c r="AA29" s="175"/>
      <c r="AB29" s="175"/>
      <c r="AC29" s="175"/>
      <c r="AD29" s="176"/>
    </row>
    <row r="30" spans="1:33" ht="31.5" customHeight="1" thickBot="1">
      <c r="A30" s="172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4"/>
      <c r="V30" s="31"/>
      <c r="W30" s="31"/>
      <c r="X30" s="31"/>
      <c r="Y30" s="31"/>
      <c r="Z30" s="31"/>
      <c r="AA30" s="175"/>
      <c r="AB30" s="175"/>
      <c r="AC30" s="175"/>
      <c r="AD30" s="176"/>
    </row>
    <row r="32" spans="1:33" ht="108.75" customHeight="1"/>
    <row r="33" spans="1:30">
      <c r="AD33" s="32"/>
    </row>
    <row r="34" spans="1:30" ht="18.75" customHeight="1">
      <c r="Z34" s="33" t="s">
        <v>32</v>
      </c>
      <c r="AA34" s="30"/>
      <c r="AB34" s="30"/>
      <c r="AC34" s="30"/>
      <c r="AD34" s="30"/>
    </row>
    <row r="35" spans="1:30" ht="25.5" customHeight="1" thickBot="1">
      <c r="A35" s="34"/>
      <c r="B35" s="35"/>
      <c r="C35" s="177" t="s">
        <v>31</v>
      </c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35"/>
      <c r="Z35" s="33" t="s">
        <v>33</v>
      </c>
      <c r="AD35" s="36"/>
    </row>
    <row r="36" spans="1:30" ht="20.25" customHeight="1">
      <c r="Z36" s="37" t="s">
        <v>34</v>
      </c>
    </row>
    <row r="37" spans="1:30" ht="19.5" customHeight="1">
      <c r="A37" s="38"/>
      <c r="B37" s="38"/>
      <c r="C37" s="178">
        <f>AA2</f>
        <v>45658</v>
      </c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38"/>
      <c r="W37" s="38"/>
      <c r="Z37" s="39" t="s">
        <v>36</v>
      </c>
      <c r="AA37" s="38"/>
      <c r="AB37" s="38"/>
      <c r="AC37" s="38"/>
      <c r="AD37" s="38"/>
    </row>
    <row r="38" spans="1:30" ht="19.5" customHeight="1">
      <c r="A38" s="40"/>
      <c r="B38" s="40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2"/>
      <c r="N38" s="42"/>
      <c r="O38" s="42"/>
      <c r="P38" s="42"/>
      <c r="Q38" s="42"/>
      <c r="R38" s="42"/>
      <c r="S38" s="42"/>
      <c r="T38" s="42"/>
      <c r="U38" s="43"/>
      <c r="V38" s="43"/>
      <c r="W38" s="43"/>
      <c r="Z38" s="44" t="s">
        <v>35</v>
      </c>
      <c r="AA38" s="45"/>
      <c r="AB38" s="38"/>
      <c r="AC38" s="38"/>
      <c r="AD38" s="38"/>
    </row>
    <row r="39" spans="1:30" ht="21.75" customHeight="1" thickBot="1">
      <c r="A39" s="46"/>
      <c r="B39" s="46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V39" s="48"/>
      <c r="W39" s="49"/>
      <c r="X39" s="48"/>
      <c r="Y39" s="50"/>
      <c r="Z39" s="50"/>
      <c r="AA39" s="50"/>
      <c r="AB39" s="51"/>
      <c r="AC39" s="51"/>
      <c r="AD39" s="51"/>
    </row>
    <row r="40" spans="1:30" ht="19.5" customHeight="1">
      <c r="A40" s="180" t="s">
        <v>9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2"/>
      <c r="X40" s="183" t="s">
        <v>10</v>
      </c>
      <c r="Y40" s="184"/>
      <c r="Z40" s="184"/>
      <c r="AA40" s="185"/>
      <c r="AB40" s="183" t="s">
        <v>11</v>
      </c>
      <c r="AC40" s="184"/>
      <c r="AD40" s="186"/>
    </row>
    <row r="41" spans="1:30" ht="19.5" customHeight="1">
      <c r="A41" s="141" t="str">
        <f>F6</f>
        <v>○○○</v>
      </c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40"/>
      <c r="T41" s="40"/>
      <c r="U41" s="52"/>
      <c r="V41" s="40"/>
      <c r="W41" s="53"/>
      <c r="X41" s="145" t="str">
        <f>"*"&amp;U42&amp;"*"</f>
        <v>**</v>
      </c>
      <c r="Y41" s="146" t="str">
        <f t="shared" ref="X41:AA42" si="0">"*"&amp;X41&amp;"*"</f>
        <v>****</v>
      </c>
      <c r="Z41" s="146" t="str">
        <f t="shared" si="0"/>
        <v>******</v>
      </c>
      <c r="AA41" s="147" t="str">
        <f t="shared" si="0"/>
        <v>********</v>
      </c>
      <c r="AB41" s="151">
        <f>AA6</f>
        <v>45667</v>
      </c>
      <c r="AC41" s="142"/>
      <c r="AD41" s="152"/>
    </row>
    <row r="42" spans="1:30" ht="35.25" customHeight="1">
      <c r="A42" s="143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55"/>
      <c r="T42" s="155"/>
      <c r="U42" s="156"/>
      <c r="V42" s="157"/>
      <c r="W42" s="158"/>
      <c r="X42" s="148" t="str">
        <f t="shared" si="0"/>
        <v>**</v>
      </c>
      <c r="Y42" s="149" t="str">
        <f t="shared" si="0"/>
        <v>****</v>
      </c>
      <c r="Z42" s="149" t="str">
        <f t="shared" si="0"/>
        <v>******</v>
      </c>
      <c r="AA42" s="150" t="str">
        <f t="shared" si="0"/>
        <v>********</v>
      </c>
      <c r="AB42" s="153"/>
      <c r="AC42" s="144"/>
      <c r="AD42" s="154"/>
    </row>
    <row r="43" spans="1:30" ht="10.5" customHeight="1">
      <c r="A43" s="159" t="str">
        <f>F4</f>
        <v>あああああ</v>
      </c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1"/>
    </row>
    <row r="44" spans="1:30" ht="10.5" customHeight="1">
      <c r="A44" s="162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1"/>
    </row>
    <row r="45" spans="1:30" ht="41.25" customHeight="1">
      <c r="A45" s="163"/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5"/>
    </row>
    <row r="46" spans="1:30" ht="19.5" customHeight="1">
      <c r="A46" s="210" t="s">
        <v>12</v>
      </c>
      <c r="B46" s="211"/>
      <c r="C46" s="212"/>
      <c r="D46" s="213" t="s">
        <v>13</v>
      </c>
      <c r="E46" s="211"/>
      <c r="F46" s="211"/>
      <c r="G46" s="211"/>
      <c r="H46" s="211"/>
      <c r="I46" s="211"/>
      <c r="J46" s="211"/>
      <c r="K46" s="211"/>
      <c r="L46" s="211"/>
      <c r="M46" s="211"/>
      <c r="N46" s="213" t="s">
        <v>14</v>
      </c>
      <c r="O46" s="211"/>
      <c r="P46" s="211"/>
      <c r="Q46" s="211"/>
      <c r="R46" s="211"/>
      <c r="S46" s="211"/>
      <c r="T46" s="211"/>
      <c r="U46" s="212"/>
      <c r="V46" s="213" t="s">
        <v>15</v>
      </c>
      <c r="W46" s="214"/>
      <c r="X46" s="214"/>
      <c r="Y46" s="215"/>
      <c r="Z46" s="213" t="s">
        <v>16</v>
      </c>
      <c r="AA46" s="211"/>
      <c r="AB46" s="212"/>
      <c r="AC46" s="213" t="s">
        <v>17</v>
      </c>
      <c r="AD46" s="216"/>
    </row>
    <row r="47" spans="1:30" ht="18" customHeight="1">
      <c r="A47" s="187">
        <v>1</v>
      </c>
      <c r="B47" s="188"/>
      <c r="C47" s="189"/>
      <c r="D47" s="193" t="s">
        <v>18</v>
      </c>
      <c r="E47" s="188"/>
      <c r="F47" s="188"/>
      <c r="G47" s="188"/>
      <c r="H47" s="188"/>
      <c r="I47" s="188"/>
      <c r="J47" s="188"/>
      <c r="K47" s="188"/>
      <c r="L47" s="188"/>
      <c r="M47" s="189"/>
      <c r="N47" s="195">
        <f>F8/A47</f>
        <v>10000</v>
      </c>
      <c r="O47" s="196"/>
      <c r="P47" s="196"/>
      <c r="Q47" s="196"/>
      <c r="R47" s="196"/>
      <c r="S47" s="196"/>
      <c r="T47" s="196"/>
      <c r="U47" s="197"/>
      <c r="V47" s="201">
        <f>N47*A47</f>
        <v>10000</v>
      </c>
      <c r="W47" s="202"/>
      <c r="X47" s="202"/>
      <c r="Y47" s="203"/>
      <c r="Z47" s="201">
        <f>V47*0.1</f>
        <v>1000</v>
      </c>
      <c r="AA47" s="202"/>
      <c r="AB47" s="203"/>
      <c r="AC47" s="201">
        <f>V47+Z47</f>
        <v>11000</v>
      </c>
      <c r="AD47" s="208"/>
    </row>
    <row r="48" spans="1:30" ht="18.75" customHeight="1" thickBot="1">
      <c r="A48" s="190"/>
      <c r="B48" s="191"/>
      <c r="C48" s="192"/>
      <c r="D48" s="194"/>
      <c r="E48" s="191"/>
      <c r="F48" s="191"/>
      <c r="G48" s="191"/>
      <c r="H48" s="191"/>
      <c r="I48" s="191"/>
      <c r="J48" s="191"/>
      <c r="K48" s="191"/>
      <c r="L48" s="191"/>
      <c r="M48" s="192"/>
      <c r="N48" s="198"/>
      <c r="O48" s="199"/>
      <c r="P48" s="199"/>
      <c r="Q48" s="199"/>
      <c r="R48" s="199"/>
      <c r="S48" s="199"/>
      <c r="T48" s="199"/>
      <c r="U48" s="200"/>
      <c r="V48" s="204"/>
      <c r="W48" s="205"/>
      <c r="X48" s="205"/>
      <c r="Y48" s="206"/>
      <c r="Z48" s="207"/>
      <c r="AA48" s="205"/>
      <c r="AB48" s="206"/>
      <c r="AC48" s="207"/>
      <c r="AD48" s="209"/>
    </row>
    <row r="49" spans="1:30" ht="20.100000000000001" customHeight="1">
      <c r="A49" s="54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6" t="s">
        <v>19</v>
      </c>
      <c r="X49" s="57"/>
      <c r="Y49" s="57"/>
      <c r="Z49" s="57"/>
      <c r="AA49" s="57"/>
      <c r="AB49" s="57"/>
      <c r="AC49" s="57"/>
      <c r="AD49" s="58"/>
    </row>
    <row r="50" spans="1:30" ht="20.100000000000001" customHeight="1">
      <c r="A50" s="63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14"/>
      <c r="W50" s="59"/>
      <c r="X50" s="60"/>
      <c r="Y50" s="61"/>
      <c r="Z50" s="61"/>
      <c r="AB50" s="38"/>
      <c r="AC50" s="38"/>
      <c r="AD50" s="62"/>
    </row>
    <row r="51" spans="1:30" ht="20.100000000000001" customHeight="1" thickBot="1">
      <c r="A51" s="64"/>
      <c r="B51" s="65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7"/>
      <c r="X51" s="68"/>
      <c r="Y51" s="69"/>
      <c r="Z51" s="69"/>
      <c r="AA51" s="31"/>
      <c r="AB51" s="51"/>
      <c r="AC51" s="51"/>
      <c r="AD51" s="70"/>
    </row>
  </sheetData>
  <mergeCells count="55">
    <mergeCell ref="B50:U50"/>
    <mergeCell ref="AC47:AD48"/>
    <mergeCell ref="A46:C46"/>
    <mergeCell ref="D46:M46"/>
    <mergeCell ref="N46:U46"/>
    <mergeCell ref="V46:Y46"/>
    <mergeCell ref="Z46:AB46"/>
    <mergeCell ref="AC46:AD46"/>
    <mergeCell ref="A47:C48"/>
    <mergeCell ref="D47:M48"/>
    <mergeCell ref="N47:U48"/>
    <mergeCell ref="V47:Y48"/>
    <mergeCell ref="Z47:AB48"/>
    <mergeCell ref="A43:AD45"/>
    <mergeCell ref="A28:U30"/>
    <mergeCell ref="AA28:AC30"/>
    <mergeCell ref="AD28:AD30"/>
    <mergeCell ref="C35:U35"/>
    <mergeCell ref="C37:U37"/>
    <mergeCell ref="A40:W40"/>
    <mergeCell ref="X40:AA40"/>
    <mergeCell ref="AB40:AD40"/>
    <mergeCell ref="A41:R42"/>
    <mergeCell ref="X41:AA42"/>
    <mergeCell ref="AB41:AD42"/>
    <mergeCell ref="S42:T42"/>
    <mergeCell ref="U42:W42"/>
    <mergeCell ref="AC10:AD11"/>
    <mergeCell ref="F11:N11"/>
    <mergeCell ref="V11:W11"/>
    <mergeCell ref="AA11:AB11"/>
    <mergeCell ref="A27:U27"/>
    <mergeCell ref="AA27:AC27"/>
    <mergeCell ref="A10:E11"/>
    <mergeCell ref="F10:N10"/>
    <mergeCell ref="O10:U11"/>
    <mergeCell ref="V10:W10"/>
    <mergeCell ref="X10:Z11"/>
    <mergeCell ref="AA10:AB10"/>
    <mergeCell ref="H2:Z2"/>
    <mergeCell ref="AA2:AD2"/>
    <mergeCell ref="A4:E5"/>
    <mergeCell ref="F4:W5"/>
    <mergeCell ref="X4:Z5"/>
    <mergeCell ref="AA4:AA5"/>
    <mergeCell ref="AB4:AC5"/>
    <mergeCell ref="AD4:AD5"/>
    <mergeCell ref="A6:E7"/>
    <mergeCell ref="F6:W7"/>
    <mergeCell ref="X6:Z7"/>
    <mergeCell ref="AA6:AD7"/>
    <mergeCell ref="A8:E9"/>
    <mergeCell ref="F8:W9"/>
    <mergeCell ref="X8:Z9"/>
    <mergeCell ref="AA8:AD9"/>
  </mergeCells>
  <phoneticPr fontId="1"/>
  <printOptions horizontalCentered="1" verticalCentered="1"/>
  <pageMargins left="0" right="0" top="0" bottom="0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発注報告書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2025-10-16T11:02:36Z</dcterms:created>
  <dcterms:modified xsi:type="dcterms:W3CDTF">2025-10-16T11:02:41Z</dcterms:modified>
</cp:coreProperties>
</file>